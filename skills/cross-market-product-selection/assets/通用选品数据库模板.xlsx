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74b668232147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说明" sheetId="1" r:id="Rf308c32ad9d949db"/>
    <x:sheet xmlns:r="http://schemas.openxmlformats.org/officeDocument/2006/relationships" name="Amazon候选" sheetId="2" r:id="R667c10b8a48f4399"/>
    <x:sheet xmlns:r="http://schemas.openxmlformats.org/officeDocument/2006/relationships" name="1688候选" sheetId="3" r:id="R957b6ebf586c499c"/>
    <x:sheet xmlns:r="http://schemas.openxmlformats.org/officeDocument/2006/relationships" name="货源匹配" sheetId="4" r:id="R59945015b3a74993"/>
    <x:sheet xmlns:r="http://schemas.openxmlformats.org/officeDocument/2006/relationships" name="严格结果" sheetId="5" r:id="Rc14a72901f054dfe"/>
    <x:sheet xmlns:r="http://schemas.openxmlformats.org/officeDocument/2006/relationships" name="待核验" sheetId="6" r:id="Ra7347ba0d1334ff0"/>
    <x:sheet xmlns:r="http://schemas.openxmlformats.org/officeDocument/2006/relationships" name="淘汰记录" sheetId="7" r:id="R55753f69ed4e4b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#,##0.00"/>
    <x:numFmt numFmtId="202" formatCode="0.0"/>
    <x:numFmt numFmtId="203" formatCode="#,##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324D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0"/>
      </x:patternFill>
    </x:fill>
    <x:fill>
      <x:patternFill patternType="solid">
        <x:fgColor rgb="FFFFF3D6"/>
      </x:patternFill>
    </x:fill>
    <x:fill>
      <x:patternFill patternType="solid">
        <x:fgColor rgb="FF0F766E"/>
      </x:patternFill>
    </x:fill>
    <x:fill>
      <x:patternFill patternType="solid">
        <x:fgColor rgb="FFEAF2FF"/>
      </x:patternFill>
    </x:fill>
  </x:fills>
  <x:borders count="6">
    <x:border/>
    <x:border>
      <x:left style="thin">
        <x:color rgb="FFD7DEE5"/>
      </x:left>
      <x:top style="thin">
        <x:color rgb="FFD7DEE5"/>
      </x:top>
      <x:bottom style="thin">
        <x:color rgb="FFD7DEE5"/>
      </x:bottom>
    </x:border>
    <x:border>
      <x:top style="thin">
        <x:color rgb="FFD7DEE5"/>
      </x:top>
      <x:bottom style="thin">
        <x:color rgb="FFD7DEE5"/>
      </x:bottom>
    </x:border>
    <x:border>
      <x:right style="thin">
        <x:color rgb="FFD7DEE5"/>
      </x:right>
      <x:top style="thin">
        <x:color rgb="FFD7DEE5"/>
      </x:top>
      <x:bottom style="thin">
        <x:color rgb="FFD7DEE5"/>
      </x:bottom>
    </x:border>
    <x:border>
      <x:bottom style="thin">
        <x:color rgb="FFD7DEE5"/>
      </x:bottom>
    </x:border>
    <x:border>
      <x:top style="thin">
        <x:color rgb="FFD7DEE5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2" xfId="0" applyNumberFormat="1" applyFont="1" applyFill="1" applyBorder="1"/>
    <x:xf numFmtId="0" fontId="3" fillId="5" borderId="3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wrapText="1"/>
    </x:xf>
    <x:xf numFmtId="0" fontId="3" fillId="5" borderId="3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0" fillId="6" borderId="0" xfId="0" applyNumberFormat="1" applyFont="1" applyFill="1" applyBorder="1"/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 applyAlignment="1">
      <x:alignment vertical="top" wrapText="1"/>
    </x:xf>
    <x:xf numFmtId="0" fontId="3" fillId="5" borderId="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6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2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2" fontId="0" fillId="0" borderId="4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5" xfId="0" applyNumberFormat="1" applyFont="1" applyFill="1" applyBorder="1" applyAlignment="1">
      <x:alignment vertical="top" wrapText="1"/>
    </x:xf>
    <x:xf numFmtId="203" fontId="0" fillId="0" borderId="4" xfId="0" applyNumberFormat="1" applyFont="1" applyFill="1" applyBorder="1" applyAlignment="1">
      <x:alignment vertical="top" wrapText="1"/>
    </x:xf>
    <x:xf numFmtId="203" fontId="0" fillId="0" borderId="2" xfId="0" applyNumberFormat="1" applyFont="1" applyFill="1" applyBorder="1" applyAlignment="1">
      <x:alignment vertical="top" wrapText="1"/>
    </x:xf>
    <x:xf numFmtId="203" fontId="0" fillId="0" borderId="5" xfId="0" applyNumberFormat="1" applyFont="1" applyFill="1" applyBorder="1" applyAlignment="1">
      <x:alignment vertical="top" wrapText="1"/>
    </x:xf>
    <x:xf numFmtId="202" fontId="0" fillId="6" borderId="4" xfId="0" applyNumberFormat="1" applyFont="1" applyFill="1" applyBorder="1" applyAlignment="1">
      <x:alignment vertical="top" wrapText="1"/>
    </x:xf>
    <x:xf numFmtId="202" fontId="0" fillId="6" borderId="2" xfId="0" applyNumberFormat="1" applyFont="1" applyFill="1" applyBorder="1" applyAlignment="1">
      <x:alignment vertical="top" wrapText="1"/>
    </x:xf>
    <x:xf numFmtId="202" fontId="0" fillId="6" borderId="5" xfId="0" applyNumberFormat="1" applyFont="1" applyFill="1" applyBorder="1" applyAlignment="1">
      <x:alignment vertical="top" wrapText="1"/>
    </x:xf>
    <x:xf numFmtId="204" fontId="0" fillId="0" borderId="4" xfId="0" applyNumberFormat="1" applyFont="1" applyFill="1" applyBorder="1" applyAlignment="1">
      <x:alignment vertical="top" wrapText="1"/>
    </x:xf>
    <x:xf numFmtId="204" fontId="0" fillId="0" borderId="2" xfId="0" applyNumberFormat="1" applyFont="1" applyFill="1" applyBorder="1" applyAlignment="1">
      <x:alignment vertical="top" wrapText="1"/>
    </x:xf>
    <x:xf numFmtId="204" fontId="0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90d7406e5541c4" /><Relationship Type="http://schemas.openxmlformats.org/officeDocument/2006/relationships/theme" Target="/xl/theme/theme1.xml" Id="R5ae54735c6354e41" /><Relationship Type="http://schemas.openxmlformats.org/officeDocument/2006/relationships/sharedStrings" Target="/xl/sharedStrings.xml" Id="Rf00529a4c032410f" /><Relationship Type="http://schemas.openxmlformats.org/officeDocument/2006/relationships/worksheet" Target="/xl/worksheets/sheet1.xml" Id="Rf308c32ad9d949db" /><Relationship Type="http://schemas.openxmlformats.org/officeDocument/2006/relationships/worksheet" Target="/xl/worksheets/sheet2.xml" Id="R667c10b8a48f4399" /><Relationship Type="http://schemas.openxmlformats.org/officeDocument/2006/relationships/worksheet" Target="/xl/worksheets/sheet3.xml" Id="R957b6ebf586c499c" /><Relationship Type="http://schemas.openxmlformats.org/officeDocument/2006/relationships/worksheet" Target="/xl/worksheets/sheet4.xml" Id="R59945015b3a74993" /><Relationship Type="http://schemas.openxmlformats.org/officeDocument/2006/relationships/worksheet" Target="/xl/worksheets/sheet5.xml" Id="Rc14a72901f054dfe" /><Relationship Type="http://schemas.openxmlformats.org/officeDocument/2006/relationships/worksheet" Target="/xl/worksheets/sheet6.xml" Id="Ra7347ba0d1334ff0" /><Relationship Type="http://schemas.openxmlformats.org/officeDocument/2006/relationships/worksheet" Target="/xl/worksheets/sheet7.xml" Id="R55753f69ed4e4b42" /></Relationships>
</file>

<file path=xl/tables/table1.xml><?xml version="1.0" encoding="utf-8"?>
<x:table xmlns:x="http://schemas.openxmlformats.org/spreadsheetml/2006/main" id="1" name="SelectionBriefTable" displayName="SelectionBriefTable" ref="A4:C15" headerRowCount="1" totalsRowCount="0" totalsRowShown="0">
  <x:autoFilter ref="A4:C15"/>
  <x:tableColumns count="3">
    <x:tableColumn id="1" name="字段"/>
    <x:tableColumn id="2" name="确认值"/>
    <x:tableColumn id="3" name="填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teDefinitionTable" displayName="GateDefinitionTable" ref="E4:J15" headerRowCount="1" totalsRowCount="0" totalsRowShown="0">
  <x:autoFilter ref="E4:J15"/>
  <x:tableColumns count="6">
    <x:tableColumn id="1" name="门槛编号"/>
    <x:tableColumn id="2" name="门槛名称"/>
    <x:tableColumn id="3" name="通过条件"/>
    <x:tableColumn id="4" name="失败条件"/>
    <x:tableColumn id="5" name="可接受证据"/>
    <x:tableColumn id="6" name="缺失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coringSettingsTable" displayName="ScoringSettingsTable" ref="L4:R19" headerRowCount="1" totalsRowCount="0" totalsRowShown="0">
  <x:autoFilter ref="L4:R19"/>
  <x:tableColumns count="7">
    <x:tableColumn id="1" name="分组"/>
    <x:tableColumn id="2" name="指标编号"/>
    <x:tableColumn id="3" name="指标名称"/>
    <x:tableColumn id="4" name="权重"/>
    <x:tableColumn id="5" name="方向"/>
    <x:tableColumn id="6" name="缺失处理"/>
    <x:tableColumn id="7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cisionLogTable" displayName="DecisionLogTable" ref="A18:D28" headerRowCount="1" totalsRowCount="0" totalsRowShown="0">
  <x:autoFilter ref="A18:D28"/>
  <x:tableColumns count="4">
    <x:tableColumn id="1" name="时间"/>
    <x:tableColumn id="2" name="已确认决策"/>
    <x:tableColumn id="3" name="来源"/>
    <x:tableColumn id="4" name="影响范围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trievalMatrixTable" displayName="RetrievalMatrixTable" ref="F18:K30" headerRowCount="1" totalsRowCount="0" totalsRowShown="0">
  <x:autoFilter ref="F18:K30"/>
  <x:tableColumns count="6">
    <x:tableColumn id="1" name="路径编号"/>
    <x:tableColumn id="2" name="检索方式"/>
    <x:tableColumn id="3" name="关键词/入口"/>
    <x:tableColumn id="4" name="深度"/>
    <x:tableColumn id="5" name="状态"/>
    <x:tableColumn id="6" name="原因/结果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mazonCandidatesTable" displayName="AmazonCandidatesTable" ref="A3:AH23" headerRowCount="1" totalsRowCount="0" totalsRowShown="0">
  <x:autoFilter ref="A3:AH23"/>
  <x:tableColumns count="34">
    <x:tableColumn id="1" name="状态"/>
    <x:tableColumn id="2" name="排名"/>
    <x:tableColumn id="3" name="ASIN"/>
    <x:tableColumn id="4" name="站点"/>
    <x:tableColumn id="5" name="标题"/>
    <x:tableColumn id="6" name="商品链接"/>
    <x:tableColumn id="7" name="主图链接"/>
    <x:tableColumn id="8" name="变体/SKU"/>
    <x:tableColumn id="9" name="产品本体门槛"/>
    <x:tableColumn id="10" name="属性门槛"/>
    <x:tableColumn id="11" name="详情身份门槛"/>
    <x:tableColumn id="12" name="主图核验"/>
    <x:tableColumn id="13" name="证据一致性门槛"/>
    <x:tableColumn id="14" name="门槛原因"/>
    <x:tableColumn id="15" name="当前价"/>
    <x:tableColumn id="16" name="币种"/>
    <x:tableColumn id="17" name="评分"/>
    <x:tableColumn id="18" name="评价数"/>
    <x:tableColumn id="19" name="指标1原始"/>
    <x:tableColumn id="20" name="指标1分"/>
    <x:tableColumn id="21" name="指标2原始"/>
    <x:tableColumn id="22" name="指标2分"/>
    <x:tableColumn id="23" name="指标3原始"/>
    <x:tableColumn id="24" name="指标3分"/>
    <x:tableColumn id="25" name="指标4原始"/>
    <x:tableColumn id="26" name="指标4分"/>
    <x:tableColumn id="27" name="市场机会分"/>
    <x:tableColumn id="28" name="来源类型"/>
    <x:tableColumn id="29" name="证据链接"/>
    <x:tableColumn id="30" name="检索路径"/>
    <x:tableColumn id="31" name="抓取时间"/>
    <x:tableColumn id="32" name="置信度"/>
    <x:tableColumn id="33" name="冲突说明"/>
    <x:tableColumn id="34" name="决策日志引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upplyCandidatesTable" displayName="SupplyCandidatesTable" ref="A3:AP23" headerRowCount="1" totalsRowCount="0" totalsRowShown="0">
  <x:autoFilter ref="A3:AP23"/>
  <x:tableColumns count="42">
    <x:tableColumn id="1" name="状态"/>
    <x:tableColumn id="2" name="排名"/>
    <x:tableColumn id="3" name="1688商品ID"/>
    <x:tableColumn id="4" name="标题"/>
    <x:tableColumn id="5" name="商品链接"/>
    <x:tableColumn id="6" name="主图链接"/>
    <x:tableColumn id="7" name="SKU/规格"/>
    <x:tableColumn id="8" name="产品本体门槛"/>
    <x:tableColumn id="9" name="材质门槛"/>
    <x:tableColumn id="10" name="规格门槛"/>
    <x:tableColumn id="11" name="供应门槛"/>
    <x:tableColumn id="12" name="图片核验"/>
    <x:tableColumn id="13" name="证据一致性门槛"/>
    <x:tableColumn id="14" name="门槛原因"/>
    <x:tableColumn id="15" name="单价下限"/>
    <x:tableColumn id="16" name="单价上限"/>
    <x:tableColumn id="17" name="币种"/>
    <x:tableColumn id="18" name="数量档位"/>
    <x:tableColumn id="19" name="MOQ"/>
    <x:tableColumn id="20" name="店铺名称"/>
    <x:tableColumn id="21" name="供应商ID"/>
    <x:tableColumn id="22" name="供应商链接"/>
    <x:tableColumn id="23" name="定制证据"/>
    <x:tableColumn id="24" name="交期"/>
    <x:tableColumn id="25" name="指标1原始"/>
    <x:tableColumn id="26" name="指标1分"/>
    <x:tableColumn id="27" name="指标2原始"/>
    <x:tableColumn id="28" name="指标2分"/>
    <x:tableColumn id="29" name="指标3原始"/>
    <x:tableColumn id="30" name="指标3分"/>
    <x:tableColumn id="31" name="指标4原始"/>
    <x:tableColumn id="32" name="指标4分"/>
    <x:tableColumn id="33" name="指标5原始"/>
    <x:tableColumn id="34" name="指标5分"/>
    <x:tableColumn id="35" name="供应能力分"/>
    <x:tableColumn id="36" name="来源类型"/>
    <x:tableColumn id="37" name="证据链接"/>
    <x:tableColumn id="38" name="检索路径"/>
    <x:tableColumn id="39" name="抓取时间"/>
    <x:tableColumn id="40" name="置信度"/>
    <x:tableColumn id="41" name="冲突说明"/>
    <x:tableColumn id="42" name="决策日志引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MatchesTable" displayName="SourceMatchesTable" ref="A3:AF23" headerRowCount="1" totalsRowCount="0" totalsRowShown="0">
  <x:autoFilter ref="A3:AF23"/>
  <x:tableColumns count="32">
    <x:tableColumn id="1" name="状态"/>
    <x:tableColumn id="2" name="排名"/>
    <x:tableColumn id="3" name="配对ID"/>
    <x:tableColumn id="4" name="Amazon ASIN"/>
    <x:tableColumn id="5" name="Amazon链接"/>
    <x:tableColumn id="6" name="1688商品ID"/>
    <x:tableColumn id="7" name="1688链接"/>
    <x:tableColumn id="8" name="Amazon状态"/>
    <x:tableColumn id="9" name="1688状态"/>
    <x:tableColumn id="10" name="产品本体匹配"/>
    <x:tableColumn id="11" name="功能匹配"/>
    <x:tableColumn id="12" name="材质匹配"/>
    <x:tableColumn id="13" name="规格匹配"/>
    <x:tableColumn id="14" name="外观匹配"/>
    <x:tableColumn id="15" name="定制匹配"/>
    <x:tableColumn id="16" name="成本MOQ可行"/>
    <x:tableColumn id="17" name="匹配原因"/>
    <x:tableColumn id="18" name="维度1分"/>
    <x:tableColumn id="19" name="维度2分"/>
    <x:tableColumn id="20" name="维度3分"/>
    <x:tableColumn id="21" name="维度4分"/>
    <x:tableColumn id="22" name="维度5分"/>
    <x:tableColumn id="23" name="维度6分"/>
    <x:tableColumn id="24" name="匹配质量分"/>
    <x:tableColumn id="25" name="市场机会分"/>
    <x:tableColumn id="26" name="供应能力分"/>
    <x:tableColumn id="27" name="最终配对分（可选）"/>
    <x:tableColumn id="28" name="来源链接"/>
    <x:tableColumn id="29" name="抓取时间"/>
    <x:tableColumn id="30" name="置信度"/>
    <x:tableColumn id="31" name="冲突说明"/>
    <x:tableColumn id="32" name="决策日志引用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trictResultsTable" displayName="StrictResultsTable" ref="A3:Q23" headerRowCount="1" totalsRowCount="0" totalsRowShown="0">
  <x:autoFilter ref="A3:Q23"/>
  <x:tableColumns count="17">
    <x:tableColumn id="1" name="模式"/>
    <x:tableColumn id="2" name="排名"/>
    <x:tableColumn id="3" name="记录/配对ID"/>
    <x:tableColumn id="4" name="Amazon ASIN"/>
    <x:tableColumn id="5" name="1688商品ID"/>
    <x:tableColumn id="6" name="标题/配对说明"/>
    <x:tableColumn id="7" name="Amazon链接"/>
    <x:tableColumn id="8" name="1688链接"/>
    <x:tableColumn id="9" name="市场机会分"/>
    <x:tableColumn id="10" name="供应能力分"/>
    <x:tableColumn id="11" name="匹配质量分"/>
    <x:tableColumn id="12" name="最终分"/>
    <x:tableColumn id="13" name="核心通过证据"/>
    <x:tableColumn id="14" name="主要限制"/>
    <x:tableColumn id="15" name="来源链接"/>
    <x:tableColumn id="16" name="决策日志引用"/>
    <x:tableColumn id="17" name="输出时间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endingReviewTable" displayName="PendingReviewTable" ref="A3:L23" headerRowCount="1" totalsRowCount="0" totalsRowShown="0">
  <x:autoFilter ref="A3:L23"/>
  <x:tableColumns count="12">
    <x:tableColumn id="1" name="模式"/>
    <x:tableColumn id="2" name="记录/配对ID"/>
    <x:tableColumn id="3" name="平台"/>
    <x:tableColumn id="4" name="标题/配对说明"/>
    <x:tableColumn id="5" name="缺失或冲突门槛"/>
    <x:tableColumn id="6" name="现有证据"/>
    <x:tableColumn id="7" name="下一步核验"/>
    <x:tableColumn id="8" name="Amazon链接"/>
    <x:tableColumn id="9" name="1688链接"/>
    <x:tableColumn id="10" name="证据链接"/>
    <x:tableColumn id="11" name="用户保留决定"/>
    <x:tableColumn id="12" name="更新时间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ejectedRecordsTable" displayName="RejectedRecordsTable" ref="A3:K23" headerRowCount="1" totalsRowCount="0" totalsRowShown="0">
  <x:autoFilter ref="A3:K23"/>
  <x:tableColumns count="11">
    <x:tableColumn id="1" name="模式"/>
    <x:tableColumn id="2" name="记录/配对ID"/>
    <x:tableColumn id="3" name="平台"/>
    <x:tableColumn id="4" name="标题/配对说明"/>
    <x:tableColumn id="5" name="失败门槛"/>
    <x:tableColumn id="6" name="失败事实"/>
    <x:tableColumn id="7" name="证据链接"/>
    <x:tableColumn id="8" name="Amazon链接"/>
    <x:tableColumn id="9" name="1688链接"/>
    <x:tableColumn id="10" name="用户决定引用"/>
    <x:tableColumn id="11" name="淘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a1191d12744f75" /><Relationship Type="http://schemas.openxmlformats.org/officeDocument/2006/relationships/table" Target="/xl/tables/table2.xml" Id="R50318f1fb072482f" /><Relationship Type="http://schemas.openxmlformats.org/officeDocument/2006/relationships/table" Target="/xl/tables/table3.xml" Id="Rd6d8974250a84d04" /><Relationship Type="http://schemas.openxmlformats.org/officeDocument/2006/relationships/table" Target="/xl/tables/table4.xml" Id="Rae6b91144962497a" /><Relationship Type="http://schemas.openxmlformats.org/officeDocument/2006/relationships/table" Target="/xl/tables/table5.xml" Id="R97ab802a7db843d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a4f2e52133ea4f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7.xml" Id="Rd2931561fdf141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8.xml" Id="R7dfd1c3bf34b437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9.xml" Id="R1be0fbcf01fa43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087dee2562fd406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1.xml" Id="R039392aeb861439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32" hidden="0" customWidth="1"/>
    <x:col min="4" max="4" width="16" hidden="0" customWidth="1"/>
    <x:col min="5" max="5" width="14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6" hidden="0" customWidth="1"/>
    <x:col min="11" max="11" width="24" hidden="0" customWidth="1"/>
    <x:col min="12" max="12" width="14" hidden="0" customWidth="1"/>
    <x:col min="13" max="13" width="12" hidden="0" customWidth="1"/>
    <x:col min="14" max="14" width="20" hidden="0" customWidth="1"/>
    <x:col min="15" max="15" width="10" hidden="0" customWidth="1"/>
    <x:col min="16" max="16" width="14" hidden="0" customWidth="1"/>
    <x:col min="17" max="17" width="16" hidden="0" customWidth="1"/>
    <x:col min="18" max="18" width="22" hidden="0" customWidth="1"/>
  </x:cols>
  <x:sheetData>
    <x:row r="1" ht="30" customHeight="1">
      <x:c r="A1" s="22" t="str">
        <x:v>通用跨市场选品数据库模板</x:v>
      </x:c>
      <x:c r="B1" s="22" t="str">
        <x:v>通用跨市场选品数据库模板</x:v>
      </x:c>
      <x:c r="C1" s="22" t="str">
        <x:v>通用跨市场选品数据库模板</x:v>
      </x:c>
      <x:c r="D1" s="22" t="str">
        <x:v>通用跨市场选品数据库模板</x:v>
      </x:c>
      <x:c r="E1" s="22" t="str">
        <x:v>通用跨市场选品数据库模板</x:v>
      </x:c>
      <x:c r="F1" s="22" t="str">
        <x:v>通用跨市场选品数据库模板</x:v>
      </x:c>
      <x:c r="G1" s="22" t="str">
        <x:v>通用跨市场选品数据库模板</x:v>
      </x:c>
      <x:c r="H1" s="22" t="str">
        <x:v>通用跨市场选品数据库模板</x:v>
      </x:c>
      <x:c r="I1" s="22" t="str">
        <x:v>通用跨市场选品数据库模板</x:v>
      </x:c>
      <x:c r="J1" s="22" t="str">
        <x:v>通用跨市场选品数据库模板</x:v>
      </x:c>
      <x:c r="K1" s="22" t="str">
        <x:v>通用跨市场选品数据库模板</x:v>
      </x:c>
      <x:c r="L1" s="22" t="str">
        <x:v>通用跨市场选品数据库模板</x:v>
      </x:c>
      <x:c r="M1" s="22" t="str">
        <x:v>通用跨市场选品数据库模板</x:v>
      </x:c>
      <x:c r="N1" s="22" t="str">
        <x:v>通用跨市场选品数据库模板</x:v>
      </x:c>
      <x:c r="O1" s="22" t="str">
        <x:v>通用跨市场选品数据库模板</x:v>
      </x:c>
      <x:c r="P1" s="22" t="str">
        <x:v>通用跨市场选品数据库模板</x:v>
      </x:c>
      <x:c r="Q1" s="22" t="str">
        <x:v>通用跨市场选品数据库模板</x:v>
      </x:c>
      <x:c r="R1" s="22" t="str">
        <x:v>通用跨市场选品数据库模板</x:v>
      </x:c>
    </x:row>
    <x:row r="2" ht="34" customHeight="1">
      <x:c r="A2" s="7" t="str">
        <x:v>先确认任务说明，再检索、核验硬门槛、评分和排名。严格结果不得为了凑数而补入待核验或淘汰项。</x:v>
      </x:c>
      <x:c r="B2" s="7" t="str">
        <x:v>先确认任务说明，再检索、核验硬门槛、评分和排名。严格结果不得为了凑数而补入待核验或淘汰项。</x:v>
      </x:c>
      <x:c r="C2" s="7" t="str">
        <x:v>先确认任务说明，再检索、核验硬门槛、评分和排名。严格结果不得为了凑数而补入待核验或淘汰项。</x:v>
      </x:c>
      <x:c r="D2" s="7" t="str">
        <x:v>先确认任务说明，再检索、核验硬门槛、评分和排名。严格结果不得为了凑数而补入待核验或淘汰项。</x:v>
      </x:c>
      <x:c r="E2" s="7" t="str">
        <x:v>先确认任务说明，再检索、核验硬门槛、评分和排名。严格结果不得为了凑数而补入待核验或淘汰项。</x:v>
      </x:c>
      <x:c r="F2" s="7" t="str">
        <x:v>先确认任务说明，再检索、核验硬门槛、评分和排名。严格结果不得为了凑数而补入待核验或淘汰项。</x:v>
      </x:c>
      <x:c r="G2" s="7" t="str">
        <x:v>先确认任务说明，再检索、核验硬门槛、评分和排名。严格结果不得为了凑数而补入待核验或淘汰项。</x:v>
      </x:c>
      <x:c r="H2" s="7" t="str">
        <x:v>先确认任务说明，再检索、核验硬门槛、评分和排名。严格结果不得为了凑数而补入待核验或淘汰项。</x:v>
      </x:c>
      <x:c r="I2" s="7" t="str">
        <x:v>先确认任务说明，再检索、核验硬门槛、评分和排名。严格结果不得为了凑数而补入待核验或淘汰项。</x:v>
      </x:c>
      <x:c r="J2" s="7" t="str">
        <x:v>先确认任务说明，再检索、核验硬门槛、评分和排名。严格结果不得为了凑数而补入待核验或淘汰项。</x:v>
      </x:c>
      <x:c r="K2" s="7" t="str">
        <x:v>先确认任务说明，再检索、核验硬门槛、评分和排名。严格结果不得为了凑数而补入待核验或淘汰项。</x:v>
      </x:c>
      <x:c r="L2" s="7" t="str">
        <x:v>先确认任务说明，再检索、核验硬门槛、评分和排名。严格结果不得为了凑数而补入待核验或淘汰项。</x:v>
      </x:c>
      <x:c r="M2" s="7" t="str">
        <x:v>先确认任务说明，再检索、核验硬门槛、评分和排名。严格结果不得为了凑数而补入待核验或淘汰项。</x:v>
      </x:c>
      <x:c r="N2" s="7" t="str">
        <x:v>先确认任务说明，再检索、核验硬门槛、评分和排名。严格结果不得为了凑数而补入待核验或淘汰项。</x:v>
      </x:c>
      <x:c r="O2" s="7" t="str">
        <x:v>先确认任务说明，再检索、核验硬门槛、评分和排名。严格结果不得为了凑数而补入待核验或淘汰项。</x:v>
      </x:c>
      <x:c r="P2" s="7" t="str">
        <x:v>先确认任务说明，再检索、核验硬门槛、评分和排名。严格结果不得为了凑数而补入待核验或淘汰项。</x:v>
      </x:c>
      <x:c r="Q2" s="7" t="str">
        <x:v>先确认任务说明，再检索、核验硬门槛、评分和排名。严格结果不得为了凑数而补入待核验或淘汰项。</x:v>
      </x:c>
      <x:c r="R2" s="7" t="str">
        <x:v>先确认任务说明，再检索、核验硬门槛、评分和排名。严格结果不得为了凑数而补入待核验或淘汰项。</x:v>
      </x:c>
    </x:row>
    <x:row r="4" ht="42" customHeight="1">
      <x:c r="A4" s="17" t="str">
        <x:v>字段</x:v>
      </x:c>
      <x:c r="B4" s="18" t="str">
        <x:v>确认值</x:v>
      </x:c>
      <x:c r="C4" s="19" t="str">
        <x:v>填写说明</x:v>
      </x:c>
      <x:c r="D4" s="23"/>
      <x:c r="E4" s="17" t="str">
        <x:v>门槛编号</x:v>
      </x:c>
      <x:c r="F4" s="18" t="str">
        <x:v>门槛名称</x:v>
      </x:c>
      <x:c r="G4" s="18" t="str">
        <x:v>通过条件</x:v>
      </x:c>
      <x:c r="H4" s="18" t="str">
        <x:v>失败条件</x:v>
      </x:c>
      <x:c r="I4" s="18" t="str">
        <x:v>可接受证据</x:v>
      </x:c>
      <x:c r="J4" s="19" t="str">
        <x:v>缺失结果</x:v>
      </x:c>
      <x:c r="K4" s="23"/>
      <x:c r="L4" s="17" t="str">
        <x:v>分组</x:v>
      </x:c>
      <x:c r="M4" s="18" t="str">
        <x:v>指标编号</x:v>
      </x:c>
      <x:c r="N4" s="18" t="str">
        <x:v>指标名称</x:v>
      </x:c>
      <x:c r="O4" s="18" t="str">
        <x:v>权重</x:v>
      </x:c>
      <x:c r="P4" s="18" t="str">
        <x:v>方向</x:v>
      </x:c>
      <x:c r="Q4" s="18" t="str">
        <x:v>缺失处理</x:v>
      </x:c>
      <x:c r="R4" s="19" t="str">
        <x:v>来源</x:v>
      </x:c>
    </x:row>
    <x:row r="5">
      <x:c r="A5" s="23" t="str">
        <x:v>模式</x:v>
      </x:c>
      <x:c r="B5" s="24"/>
      <x:c r="C5" s="23" t="str">
        <x:v>Amazon / 1688 / 联合</x:v>
      </x:c>
      <x:c r="D5" s="23"/>
      <x:c r="E5" s="24"/>
      <x:c r="F5" s="24"/>
      <x:c r="G5" s="24"/>
      <x:c r="H5" s="24"/>
      <x:c r="I5" s="24"/>
      <x:c r="J5" s="24"/>
      <x:c r="K5" s="23"/>
      <x:c r="L5" s="23" t="str">
        <x:v>Amazon</x:v>
      </x:c>
      <x:c r="M5" s="23" t="str">
        <x:v>A1</x:v>
      </x:c>
      <x:c r="N5" s="24"/>
      <x:c r="O5" s="24"/>
      <x:c r="P5" s="24"/>
      <x:c r="Q5" s="24"/>
      <x:c r="R5" s="24"/>
    </x:row>
    <x:row r="6">
      <x:c r="A6" s="23" t="str">
        <x:v>业务目标</x:v>
      </x:c>
      <x:c r="B6" s="24"/>
      <x:c r="C6" s="23" t="str">
        <x:v>说明这份清单要支持的决策</x:v>
      </x:c>
      <x:c r="D6" s="23"/>
      <x:c r="E6" s="24"/>
      <x:c r="F6" s="24"/>
      <x:c r="G6" s="24"/>
      <x:c r="H6" s="24"/>
      <x:c r="I6" s="24"/>
      <x:c r="J6" s="24"/>
      <x:c r="K6" s="23"/>
      <x:c r="L6" s="23" t="str">
        <x:v>Amazon</x:v>
      </x:c>
      <x:c r="M6" s="23" t="str">
        <x:v>A2</x:v>
      </x:c>
      <x:c r="N6" s="24"/>
      <x:c r="O6" s="24"/>
      <x:c r="P6" s="24"/>
      <x:c r="Q6" s="24"/>
      <x:c r="R6" s="24"/>
    </x:row>
    <x:row r="7">
      <x:c r="A7" s="23" t="str">
        <x:v>品类/用途</x:v>
      </x:c>
      <x:c r="B7" s="24"/>
      <x:c r="C7" s="23" t="str">
        <x:v>目标产品及使用场景</x:v>
      </x:c>
      <x:c r="D7" s="23"/>
      <x:c r="E7" s="24"/>
      <x:c r="F7" s="24"/>
      <x:c r="G7" s="24"/>
      <x:c r="H7" s="24"/>
      <x:c r="I7" s="24"/>
      <x:c r="J7" s="24"/>
      <x:c r="K7" s="23"/>
      <x:c r="L7" s="23" t="str">
        <x:v>Amazon</x:v>
      </x:c>
      <x:c r="M7" s="23" t="str">
        <x:v>A3</x:v>
      </x:c>
      <x:c r="N7" s="24"/>
      <x:c r="O7" s="24"/>
      <x:c r="P7" s="24"/>
      <x:c r="Q7" s="24"/>
      <x:c r="R7" s="24"/>
    </x:row>
    <x:row r="8">
      <x:c r="A8" s="23" t="str">
        <x:v>市场/范围</x:v>
      </x:c>
      <x:c r="B8" s="24"/>
      <x:c r="C8" s="23" t="str">
        <x:v>站点、国家、区域或供应范围</x:v>
      </x:c>
      <x:c r="D8" s="23"/>
      <x:c r="E8" s="24"/>
      <x:c r="F8" s="24"/>
      <x:c r="G8" s="24"/>
      <x:c r="H8" s="24"/>
      <x:c r="I8" s="24"/>
      <x:c r="J8" s="24"/>
      <x:c r="K8" s="23"/>
      <x:c r="L8" s="23" t="str">
        <x:v>Amazon</x:v>
      </x:c>
      <x:c r="M8" s="23" t="str">
        <x:v>A4</x:v>
      </x:c>
      <x:c r="N8" s="24"/>
      <x:c r="O8" s="24"/>
      <x:c r="P8" s="24"/>
      <x:c r="Q8" s="24"/>
      <x:c r="R8" s="24"/>
    </x:row>
    <x:row r="9">
      <x:c r="A9" s="23" t="str">
        <x:v>参考对象</x:v>
      </x:c>
      <x:c r="B9" s="24"/>
      <x:c r="C9" s="23" t="str">
        <x:v>URL、ASIN、1688商品ID或图片</x:v>
      </x:c>
      <x:c r="D9" s="23"/>
      <x:c r="E9" s="24"/>
      <x:c r="F9" s="24"/>
      <x:c r="G9" s="24"/>
      <x:c r="H9" s="24"/>
      <x:c r="I9" s="24"/>
      <x:c r="J9" s="24"/>
      <x:c r="K9" s="23"/>
      <x:c r="L9" s="23" t="str">
        <x:v>1688</x:v>
      </x:c>
      <x:c r="M9" s="23" t="str">
        <x:v>S1</x:v>
      </x:c>
      <x:c r="N9" s="24"/>
      <x:c r="O9" s="24"/>
      <x:c r="P9" s="24"/>
      <x:c r="Q9" s="24"/>
      <x:c r="R9" s="24"/>
    </x:row>
    <x:row r="10">
      <x:c r="A10" s="23" t="str">
        <x:v>目标数量</x:v>
      </x:c>
      <x:c r="B10" s="24"/>
      <x:c r="C10" s="23" t="str">
        <x:v>最多 N 个严格结果；允许少于 N</x:v>
      </x:c>
      <x:c r="D10" s="23"/>
      <x:c r="E10" s="24"/>
      <x:c r="F10" s="24"/>
      <x:c r="G10" s="24"/>
      <x:c r="H10" s="24"/>
      <x:c r="I10" s="24"/>
      <x:c r="J10" s="24"/>
      <x:c r="K10" s="23"/>
      <x:c r="L10" s="23" t="str">
        <x:v>1688</x:v>
      </x:c>
      <x:c r="M10" s="23" t="str">
        <x:v>S2</x:v>
      </x:c>
      <x:c r="N10" s="24"/>
      <x:c r="O10" s="24"/>
      <x:c r="P10" s="24"/>
      <x:c r="Q10" s="24"/>
      <x:c r="R10" s="24"/>
    </x:row>
    <x:row r="11">
      <x:c r="A11" s="23" t="str">
        <x:v>硬门槛与排除</x:v>
      </x:c>
      <x:c r="B11" s="24"/>
      <x:c r="C11" s="23" t="str">
        <x:v>写明通过、失败和缺失证据规则</x:v>
      </x:c>
      <x:c r="D11" s="23"/>
      <x:c r="E11" s="24"/>
      <x:c r="F11" s="24"/>
      <x:c r="G11" s="24"/>
      <x:c r="H11" s="24"/>
      <x:c r="I11" s="24"/>
      <x:c r="J11" s="24"/>
      <x:c r="K11" s="23"/>
      <x:c r="L11" s="23" t="str">
        <x:v>1688</x:v>
      </x:c>
      <x:c r="M11" s="23" t="str">
        <x:v>S3</x:v>
      </x:c>
      <x:c r="N11" s="24"/>
      <x:c r="O11" s="24"/>
      <x:c r="P11" s="24"/>
      <x:c r="Q11" s="24"/>
      <x:c r="R11" s="24"/>
    </x:row>
    <x:row r="12">
      <x:c r="A12" s="23" t="str">
        <x:v>关键字段</x:v>
      </x:c>
      <x:c r="B12" s="24"/>
      <x:c r="C12" s="23" t="str">
        <x:v>必填字段与可选字段</x:v>
      </x:c>
      <x:c r="D12" s="23"/>
      <x:c r="E12" s="24"/>
      <x:c r="F12" s="24"/>
      <x:c r="G12" s="24"/>
      <x:c r="H12" s="24"/>
      <x:c r="I12" s="24"/>
      <x:c r="J12" s="24"/>
      <x:c r="K12" s="23"/>
      <x:c r="L12" s="23" t="str">
        <x:v>1688</x:v>
      </x:c>
      <x:c r="M12" s="23" t="str">
        <x:v>S4</x:v>
      </x:c>
      <x:c r="N12" s="24"/>
      <x:c r="O12" s="24"/>
      <x:c r="P12" s="24"/>
      <x:c r="Q12" s="24"/>
      <x:c r="R12" s="24"/>
    </x:row>
    <x:row r="13">
      <x:c r="A13" s="23" t="str">
        <x:v>缺失值策略</x:v>
      </x:c>
      <x:c r="B13" s="24"/>
      <x:c r="C13" s="23" t="str">
        <x:v>留空 / 待核验 / 排除 / 经确认的评分规则</x:v>
      </x:c>
      <x:c r="D13" s="23"/>
      <x:c r="E13" s="24"/>
      <x:c r="F13" s="24"/>
      <x:c r="G13" s="24"/>
      <x:c r="H13" s="24"/>
      <x:c r="I13" s="24"/>
      <x:c r="J13" s="24"/>
      <x:c r="K13" s="23"/>
      <x:c r="L13" s="23" t="str">
        <x:v>1688</x:v>
      </x:c>
      <x:c r="M13" s="23" t="str">
        <x:v>S5</x:v>
      </x:c>
      <x:c r="N13" s="24"/>
      <x:c r="O13" s="24"/>
      <x:c r="P13" s="24"/>
      <x:c r="Q13" s="24"/>
      <x:c r="R13" s="24"/>
    </x:row>
    <x:row r="14">
      <x:c r="A14" s="23" t="str">
        <x:v>输出位置</x:v>
      </x:c>
      <x:c r="B14" s="24"/>
      <x:c r="C14" s="23" t="str">
        <x:v>文件格式、语言、币种与目录</x:v>
      </x:c>
      <x:c r="D14" s="23"/>
      <x:c r="E14" s="24"/>
      <x:c r="F14" s="24"/>
      <x:c r="G14" s="24"/>
      <x:c r="H14" s="24"/>
      <x:c r="I14" s="24"/>
      <x:c r="J14" s="24"/>
      <x:c r="K14" s="23"/>
      <x:c r="L14" s="23" t="str">
        <x:v>匹配</x:v>
      </x:c>
      <x:c r="M14" s="23" t="str">
        <x:v>M1</x:v>
      </x:c>
      <x:c r="N14" s="24"/>
      <x:c r="O14" s="24"/>
      <x:c r="P14" s="24"/>
      <x:c r="Q14" s="24"/>
      <x:c r="R14" s="24"/>
    </x:row>
    <x:row r="15">
      <x:c r="A15" s="23" t="str">
        <x:v>SerpApi调用上限</x:v>
      </x:c>
      <x:c r="B15" s="24"/>
      <x:c r="C15" s="23" t="str">
        <x:v>仅 Amazon 备用；批量前确认</x:v>
      </x:c>
      <x:c r="D15" s="23"/>
      <x:c r="E15" s="24"/>
      <x:c r="F15" s="24"/>
      <x:c r="G15" s="24"/>
      <x:c r="H15" s="24"/>
      <x:c r="I15" s="24"/>
      <x:c r="J15" s="24"/>
      <x:c r="K15" s="23"/>
      <x:c r="L15" s="23" t="str">
        <x:v>匹配</x:v>
      </x:c>
      <x:c r="M15" s="23" t="str">
        <x:v>M2</x:v>
      </x:c>
      <x:c r="N15" s="24"/>
      <x:c r="O15" s="24"/>
      <x:c r="P15" s="24"/>
      <x:c r="Q15" s="24"/>
      <x:c r="R15" s="24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 t="str">
        <x:v>匹配</x:v>
      </x:c>
      <x:c r="M16" s="23" t="str">
        <x:v>M3</x:v>
      </x:c>
      <x:c r="N16" s="24"/>
      <x:c r="O16" s="24"/>
      <x:c r="P16" s="24"/>
      <x:c r="Q16" s="24"/>
      <x:c r="R16" s="24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 t="str">
        <x:v>匹配</x:v>
      </x:c>
      <x:c r="M17" s="23" t="str">
        <x:v>M4</x:v>
      </x:c>
      <x:c r="N17" s="24"/>
      <x:c r="O17" s="24"/>
      <x:c r="P17" s="24"/>
      <x:c r="Q17" s="24"/>
      <x:c r="R17" s="24"/>
    </x:row>
    <x:row r="18" ht="38" customHeight="1">
      <x:c r="A18" s="17" t="str">
        <x:v>时间</x:v>
      </x:c>
      <x:c r="B18" s="18" t="str">
        <x:v>已确认决策</x:v>
      </x:c>
      <x:c r="C18" s="18" t="str">
        <x:v>来源</x:v>
      </x:c>
      <x:c r="D18" s="19" t="str">
        <x:v>影响范围</x:v>
      </x:c>
      <x:c r="E18" s="23"/>
      <x:c r="F18" s="17" t="str">
        <x:v>路径编号</x:v>
      </x:c>
      <x:c r="G18" s="18" t="str">
        <x:v>检索方式</x:v>
      </x:c>
      <x:c r="H18" s="18" t="str">
        <x:v>关键词/入口</x:v>
      </x:c>
      <x:c r="I18" s="18" t="str">
        <x:v>深度</x:v>
      </x:c>
      <x:c r="J18" s="18" t="str">
        <x:v>状态</x:v>
      </x:c>
      <x:c r="K18" s="19" t="str">
        <x:v>原因/结果</x:v>
      </x:c>
      <x:c r="L18" s="23" t="str">
        <x:v>匹配</x:v>
      </x:c>
      <x:c r="M18" s="23" t="str">
        <x:v>M5</x:v>
      </x:c>
      <x:c r="N18" s="24"/>
      <x:c r="O18" s="24"/>
      <x:c r="P18" s="24"/>
      <x:c r="Q18" s="24"/>
      <x:c r="R18" s="24"/>
    </x:row>
    <x:row r="19">
      <x:c r="A19" s="24"/>
      <x:c r="B19" s="24"/>
      <x:c r="C19" s="24"/>
      <x:c r="D19" s="24"/>
      <x:c r="E19" s="23"/>
      <x:c r="F19" s="24"/>
      <x:c r="G19" s="24"/>
      <x:c r="H19" s="24"/>
      <x:c r="I19" s="24"/>
      <x:c r="J19" s="24"/>
      <x:c r="K19" s="24"/>
      <x:c r="L19" s="23" t="str">
        <x:v>匹配</x:v>
      </x:c>
      <x:c r="M19" s="23" t="str">
        <x:v>M6</x:v>
      </x:c>
      <x:c r="N19" s="24"/>
      <x:c r="O19" s="24"/>
      <x:c r="P19" s="24"/>
      <x:c r="Q19" s="24"/>
      <x:c r="R19" s="24"/>
    </x:row>
    <x:row r="20">
      <x:c r="A20" s="24"/>
      <x:c r="B20" s="24"/>
      <x:c r="C20" s="24"/>
      <x:c r="D20" s="24"/>
      <x:c r="E20" s="23"/>
      <x:c r="F20" s="24"/>
      <x:c r="G20" s="24"/>
      <x:c r="H20" s="24"/>
      <x:c r="I20" s="24"/>
      <x:c r="J20" s="24"/>
      <x:c r="K20" s="24"/>
      <x:c r="L20" s="23"/>
      <x:c r="M20" s="23"/>
      <x:c r="N20" s="23"/>
      <x:c r="O20" s="23"/>
      <x:c r="P20" s="23"/>
      <x:c r="Q20" s="23"/>
      <x:c r="R20" s="23"/>
    </x:row>
    <x:row r="21">
      <x:c r="A21" s="24"/>
      <x:c r="B21" s="24"/>
      <x:c r="C21" s="24"/>
      <x:c r="D21" s="24"/>
      <x:c r="E21" s="23"/>
      <x:c r="F21" s="24"/>
      <x:c r="G21" s="24"/>
      <x:c r="H21" s="24"/>
      <x:c r="I21" s="24"/>
      <x:c r="J21" s="24"/>
      <x:c r="K21" s="24"/>
      <x:c r="L21" s="23"/>
      <x:c r="M21" s="23"/>
      <x:c r="N21" s="23"/>
      <x:c r="O21" s="23"/>
      <x:c r="P21" s="23"/>
      <x:c r="Q21" s="23"/>
      <x:c r="R21" s="23"/>
    </x:row>
    <x:row r="22">
      <x:c r="A22" s="24"/>
      <x:c r="B22" s="24"/>
      <x:c r="C22" s="24"/>
      <x:c r="D22" s="24"/>
      <x:c r="E22" s="23"/>
      <x:c r="F22" s="24"/>
      <x:c r="G22" s="24"/>
      <x:c r="H22" s="24"/>
      <x:c r="I22" s="24"/>
      <x:c r="J22" s="24"/>
      <x:c r="K22" s="24"/>
      <x:c r="L22" s="25" t="str">
        <x:v>权重校验</x:v>
      </x:c>
      <x:c r="M22" s="25" t="str">
        <x:v>合计</x:v>
      </x:c>
      <x:c r="N22" s="25" t="str">
        <x:v>状态</x:v>
      </x:c>
      <x:c r="O22" s="23"/>
      <x:c r="P22" s="23"/>
      <x:c r="Q22" s="23"/>
      <x:c r="R22" s="23"/>
    </x:row>
    <x:row r="23">
      <x:c r="A23" s="24"/>
      <x:c r="B23" s="24"/>
      <x:c r="C23" s="24"/>
      <x:c r="D23" s="24"/>
      <x:c r="E23" s="23"/>
      <x:c r="F23" s="24"/>
      <x:c r="G23" s="24"/>
      <x:c r="H23" s="24"/>
      <x:c r="I23" s="24"/>
      <x:c r="J23" s="24"/>
      <x:c r="K23" s="24"/>
      <x:c r="L23" s="23" t="str">
        <x:v>Amazon</x:v>
      </x:c>
      <x:c r="M23" s="26" t="n">
        <x:f>SUM('任务说明'!O5:O8)</x:f>
        <x:v>0</x:v>
      </x:c>
      <x:c r="N23" s="26" t="str">
        <x:f>IF(M23=100,"通过","请调整为100")</x:f>
        <x:v>请调整为100</x:v>
      </x:c>
      <x:c r="O23" s="23"/>
      <x:c r="P23" s="23"/>
      <x:c r="Q23" s="23"/>
      <x:c r="R23" s="23"/>
    </x:row>
    <x:row r="24">
      <x:c r="A24" s="24"/>
      <x:c r="B24" s="24"/>
      <x:c r="C24" s="24"/>
      <x:c r="D24" s="24"/>
      <x:c r="E24" s="23"/>
      <x:c r="F24" s="24"/>
      <x:c r="G24" s="24"/>
      <x:c r="H24" s="24"/>
      <x:c r="I24" s="24"/>
      <x:c r="J24" s="24"/>
      <x:c r="K24" s="24"/>
      <x:c r="L24" s="23" t="str">
        <x:v>1688</x:v>
      </x:c>
      <x:c r="M24" s="26" t="n">
        <x:f>SUM('任务说明'!O9:O13)</x:f>
        <x:v>0</x:v>
      </x:c>
      <x:c r="N24" s="26" t="str">
        <x:f>IF(M24=100,"通过","请调整为100")</x:f>
        <x:v>请调整为100</x:v>
      </x:c>
      <x:c r="O24" s="23"/>
      <x:c r="P24" s="23"/>
      <x:c r="Q24" s="23"/>
      <x:c r="R24" s="23"/>
    </x:row>
    <x:row r="25">
      <x:c r="A25" s="24"/>
      <x:c r="B25" s="24"/>
      <x:c r="C25" s="24"/>
      <x:c r="D25" s="24"/>
      <x:c r="E25" s="23"/>
      <x:c r="F25" s="24"/>
      <x:c r="G25" s="24"/>
      <x:c r="H25" s="24"/>
      <x:c r="I25" s="24"/>
      <x:c r="J25" s="24"/>
      <x:c r="K25" s="24"/>
      <x:c r="L25" s="23" t="str">
        <x:v>匹配</x:v>
      </x:c>
      <x:c r="M25" s="26" t="n">
        <x:f>SUM('任务说明'!O14:O19)</x:f>
        <x:v>0</x:v>
      </x:c>
      <x:c r="N25" s="26" t="str">
        <x:f>IF(M25=100,"通过","请调整为100")</x:f>
        <x:v>请调整为100</x:v>
      </x:c>
      <x:c r="O25" s="23"/>
      <x:c r="P25" s="23"/>
      <x:c r="Q25" s="23"/>
      <x:c r="R25" s="23"/>
    </x:row>
    <x:row r="26">
      <x:c r="A26" s="24"/>
      <x:c r="B26" s="24"/>
      <x:c r="C26" s="24"/>
      <x:c r="D26" s="24"/>
      <x:c r="E26" s="23"/>
      <x:c r="F26" s="24"/>
      <x:c r="G26" s="24"/>
      <x:c r="H26" s="24"/>
      <x:c r="I26" s="24"/>
      <x:c r="J26" s="24"/>
      <x:c r="K26" s="24"/>
      <x:c r="L26" s="23"/>
      <x:c r="M26" s="23"/>
      <x:c r="N26" s="23"/>
      <x:c r="O26" s="23"/>
      <x:c r="P26" s="23"/>
      <x:c r="Q26" s="23"/>
      <x:c r="R26" s="23"/>
    </x:row>
    <x:row r="27">
      <x:c r="A27" s="24"/>
      <x:c r="B27" s="24"/>
      <x:c r="C27" s="24"/>
      <x:c r="D27" s="24"/>
      <x:c r="E27" s="23"/>
      <x:c r="F27" s="24"/>
      <x:c r="G27" s="24"/>
      <x:c r="H27" s="24"/>
      <x:c r="I27" s="24"/>
      <x:c r="J27" s="24"/>
      <x:c r="K27" s="24"/>
      <x:c r="L27" s="23"/>
      <x:c r="M27" s="23"/>
      <x:c r="N27" s="23"/>
      <x:c r="O27" s="23"/>
      <x:c r="P27" s="23"/>
      <x:c r="Q27" s="23"/>
      <x:c r="R27" s="23"/>
    </x:row>
    <x:row r="28">
      <x:c r="A28" s="24"/>
      <x:c r="B28" s="24"/>
      <x:c r="C28" s="24"/>
      <x:c r="D28" s="24"/>
      <x:c r="E28" s="23"/>
      <x:c r="F28" s="24"/>
      <x:c r="G28" s="24"/>
      <x:c r="H28" s="24"/>
      <x:c r="I28" s="24"/>
      <x:c r="J28" s="24"/>
      <x:c r="K28" s="24"/>
      <x:c r="L28" s="23"/>
      <x:c r="M28" s="23"/>
      <x:c r="N28" s="23"/>
      <x:c r="O28" s="23"/>
      <x:c r="P28" s="23"/>
      <x:c r="Q28" s="23"/>
      <x:c r="R28" s="23"/>
    </x:row>
    <x:row r="29">
      <x:c r="A29" s="23"/>
      <x:c r="B29" s="23"/>
      <x:c r="C29" s="23"/>
      <x:c r="D29" s="23"/>
      <x:c r="E29" s="23"/>
      <x:c r="F29" s="24"/>
      <x:c r="G29" s="24"/>
      <x:c r="H29" s="24"/>
      <x:c r="I29" s="24"/>
      <x:c r="J29" s="24"/>
      <x:c r="K29" s="24"/>
      <x:c r="L29" s="23"/>
      <x:c r="M29" s="23"/>
      <x:c r="N29" s="23"/>
      <x:c r="O29" s="23"/>
      <x:c r="P29" s="23"/>
      <x:c r="Q29" s="23"/>
      <x:c r="R29" s="23"/>
    </x:row>
    <x:row r="30">
      <x:c r="A30" s="23"/>
      <x:c r="B30" s="23"/>
      <x:c r="C30" s="23"/>
      <x:c r="D30" s="23"/>
      <x:c r="E30" s="23"/>
      <x:c r="F30" s="24"/>
      <x:c r="G30" s="24"/>
      <x:c r="H30" s="24"/>
      <x:c r="I30" s="24"/>
      <x:c r="J30" s="24"/>
      <x:c r="K30" s="24"/>
      <x:c r="L30" s="23"/>
      <x:c r="M30" s="23"/>
      <x:c r="N30" s="23"/>
      <x:c r="O30" s="23"/>
      <x:c r="P30" s="23"/>
      <x:c r="Q30" s="23"/>
      <x:c r="R30" s="23"/>
    </x:row>
  </x:sheetData>
  <x:mergeCells>
    <x:mergeCell ref="A1:R1"/>
    <x:mergeCell ref="A2:R2"/>
  </x:mergeCells>
  <x:dataValidations count="4">
    <x:dataValidation type="list" sqref="J5:J15">
      <x:formula1>"待核验,淘汰"</x:formula1>
    </x:dataValidation>
    <x:dataValidation type="whole" operator="between" sqref="O5:O19">
      <x:formula1>0</x:formula1>
      <x:formula2>100</x:formula2>
    </x:dataValidation>
    <x:dataValidation type="list" sqref="P5:P19">
      <x:formula1>"越高越好,越低越好,目标区间,分类规则"</x:formula1>
    </x:dataValidation>
    <x:dataValidation type="list" sqref="J19:J30">
      <x:formula1>"已尝试,不可用,有意跳过,未开始"</x:formula1>
    </x:dataValidation>
  </x:dataValidations>
  <x:pageMargins left="0.7" right="0.7" top="0.75" bottom="0.75" header="0.3" footer="0.3"/>
  <x:tableParts count="5">
    <x:tablePart xmlns:r="http://schemas.openxmlformats.org/officeDocument/2006/relationships" r:id="R08a1191d12744f75"/>
    <x:tablePart xmlns:r="http://schemas.openxmlformats.org/officeDocument/2006/relationships" r:id="R50318f1fb072482f"/>
    <x:tablePart xmlns:r="http://schemas.openxmlformats.org/officeDocument/2006/relationships" r:id="Rd6d8974250a84d04"/>
    <x:tablePart xmlns:r="http://schemas.openxmlformats.org/officeDocument/2006/relationships" r:id="Rae6b91144962497a"/>
    <x:tablePart xmlns:r="http://schemas.openxmlformats.org/officeDocument/2006/relationships" r:id="R97ab802a7db843d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" hidden="0" customWidth="1"/>
    <x:col min="3" max="3" width="14" hidden="0" customWidth="1"/>
    <x:col min="4" max="4" width="10" hidden="0" customWidth="1"/>
    <x:col min="5" max="5" width="28" hidden="0" customWidth="1"/>
    <x:col min="6" max="6" width="22" hidden="0" customWidth="1"/>
    <x:col min="7" max="7" width="22" hidden="0" customWidth="1"/>
    <x:col min="8" max="8" width="1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6" hidden="0" customWidth="1"/>
    <x:col min="14" max="14" width="26" hidden="0" customWidth="1"/>
    <x:col min="15" max="15" width="12" hidden="0" customWidth="1"/>
    <x:col min="16" max="16" width="9" hidden="0" customWidth="1"/>
    <x:col min="17" max="17" width="9" hidden="0" customWidth="1"/>
    <x:col min="18" max="18" width="11" hidden="0" customWidth="1"/>
    <x:col min="19" max="19" width="14" hidden="0" customWidth="1"/>
    <x:col min="20" max="20" width="10" hidden="0" customWidth="1"/>
    <x:col min="21" max="21" width="14" hidden="0" customWidth="1"/>
    <x:col min="22" max="22" width="10" hidden="0" customWidth="1"/>
    <x:col min="23" max="23" width="14" hidden="0" customWidth="1"/>
    <x:col min="24" max="24" width="10" hidden="0" customWidth="1"/>
    <x:col min="25" max="25" width="14" hidden="0" customWidth="1"/>
    <x:col min="26" max="26" width="10" hidden="0" customWidth="1"/>
    <x:col min="27" max="27" width="13" hidden="0" customWidth="1"/>
    <x:col min="28" max="28" width="14" hidden="0" customWidth="1"/>
    <x:col min="29" max="29" width="22" hidden="0" customWidth="1"/>
    <x:col min="30" max="30" width="18" hidden="0" customWidth="1"/>
    <x:col min="31" max="31" width="18" hidden="0" customWidth="1"/>
    <x:col min="32" max="32" width="10" hidden="0" customWidth="1"/>
    <x:col min="33" max="33" width="24" hidden="0" customWidth="1"/>
    <x:col min="34" max="34" width="18" hidden="0" customWidth="1"/>
  </x:cols>
  <x:sheetData>
    <x:row r="1" ht="30" customHeight="1">
      <x:c r="A1" s="3" t="str">
        <x:v>Amazon 候选</x:v>
      </x:c>
      <x:c r="B1" s="3" t="str">
        <x:v>Amazon 候选</x:v>
      </x:c>
      <x:c r="C1" s="3" t="str">
        <x:v>Amazon 候选</x:v>
      </x:c>
      <x:c r="D1" s="3" t="str">
        <x:v>Amazon 候选</x:v>
      </x:c>
      <x:c r="E1" s="3" t="str">
        <x:v>Amazon 候选</x:v>
      </x:c>
      <x:c r="F1" s="3" t="str">
        <x:v>Amazon 候选</x:v>
      </x:c>
      <x:c r="G1" s="3" t="str">
        <x:v>Amazon 候选</x:v>
      </x:c>
      <x:c r="H1" s="3" t="str">
        <x:v>Amazon 候选</x:v>
      </x:c>
      <x:c r="I1" s="3" t="str">
        <x:v>Amazon 候选</x:v>
      </x:c>
      <x:c r="J1" s="3" t="str">
        <x:v>Amazon 候选</x:v>
      </x:c>
      <x:c r="K1" s="3" t="str">
        <x:v>Amazon 候选</x:v>
      </x:c>
      <x:c r="L1" s="3" t="str">
        <x:v>Amazon 候选</x:v>
      </x:c>
      <x:c r="M1" s="3" t="str">
        <x:v>Amazon 候选</x:v>
      </x:c>
      <x:c r="N1" s="3" t="str">
        <x:v>Amazon 候选</x:v>
      </x:c>
      <x:c r="O1" s="3" t="str">
        <x:v>Amazon 候选</x:v>
      </x:c>
      <x:c r="P1" s="3" t="str">
        <x:v>Amazon 候选</x:v>
      </x:c>
      <x:c r="Q1" s="3" t="str">
        <x:v>Amazon 候选</x:v>
      </x:c>
      <x:c r="R1" s="3" t="str">
        <x:v>Amazon 候选</x:v>
      </x:c>
      <x:c r="S1" s="3" t="str">
        <x:v>Amazon 候选</x:v>
      </x:c>
      <x:c r="T1" s="3" t="str">
        <x:v>Amazon 候选</x:v>
      </x:c>
      <x:c r="U1" s="3" t="str">
        <x:v>Amazon 候选</x:v>
      </x:c>
      <x:c r="V1" s="3" t="str">
        <x:v>Amazon 候选</x:v>
      </x:c>
      <x:c r="W1" s="3" t="str">
        <x:v>Amazon 候选</x:v>
      </x:c>
      <x:c r="X1" s="3" t="str">
        <x:v>Amazon 候选</x:v>
      </x:c>
      <x:c r="Y1" s="3" t="str">
        <x:v>Amazon 候选</x:v>
      </x:c>
      <x:c r="Z1" s="3" t="str">
        <x:v>Amazon 候选</x:v>
      </x:c>
      <x:c r="AA1" s="3" t="str">
        <x:v>Amazon 候选</x:v>
      </x:c>
      <x:c r="AB1" s="3" t="str">
        <x:v>Amazon 候选</x:v>
      </x:c>
      <x:c r="AC1" s="3" t="str">
        <x:v>Amazon 候选</x:v>
      </x:c>
      <x:c r="AD1" s="3" t="str">
        <x:v>Amazon 候选</x:v>
      </x:c>
      <x:c r="AE1" s="3" t="str">
        <x:v>Amazon 候选</x:v>
      </x:c>
      <x:c r="AF1" s="3" t="str">
        <x:v>Amazon 候选</x:v>
      </x:c>
      <x:c r="AG1" s="3" t="str">
        <x:v>Amazon 候选</x:v>
      </x:c>
      <x:c r="AH1" s="3" t="str">
        <x:v>Amazon 候选</x:v>
      </x:c>
    </x:row>
    <x:row r="2" ht="34" customHeight="1">
      <x:c r="A2" s="7" t="str">
        <x:v>先完成硬门槛与实际主图核验；只有“严格”行才计算市场机会分并进入排名。缺失值保持空白。</x:v>
      </x:c>
      <x:c r="B2" s="7" t="str">
        <x:v>先完成硬门槛与实际主图核验；只有“严格”行才计算市场机会分并进入排名。缺失值保持空白。</x:v>
      </x:c>
      <x:c r="C2" s="7" t="str">
        <x:v>先完成硬门槛与实际主图核验；只有“严格”行才计算市场机会分并进入排名。缺失值保持空白。</x:v>
      </x:c>
      <x:c r="D2" s="7" t="str">
        <x:v>先完成硬门槛与实际主图核验；只有“严格”行才计算市场机会分并进入排名。缺失值保持空白。</x:v>
      </x:c>
      <x:c r="E2" s="7" t="str">
        <x:v>先完成硬门槛与实际主图核验；只有“严格”行才计算市场机会分并进入排名。缺失值保持空白。</x:v>
      </x:c>
      <x:c r="F2" s="7" t="str">
        <x:v>先完成硬门槛与实际主图核验；只有“严格”行才计算市场机会分并进入排名。缺失值保持空白。</x:v>
      </x:c>
      <x:c r="G2" s="7" t="str">
        <x:v>先完成硬门槛与实际主图核验；只有“严格”行才计算市场机会分并进入排名。缺失值保持空白。</x:v>
      </x:c>
      <x:c r="H2" s="7" t="str">
        <x:v>先完成硬门槛与实际主图核验；只有“严格”行才计算市场机会分并进入排名。缺失值保持空白。</x:v>
      </x:c>
      <x:c r="I2" s="7" t="str">
        <x:v>先完成硬门槛与实际主图核验；只有“严格”行才计算市场机会分并进入排名。缺失值保持空白。</x:v>
      </x:c>
      <x:c r="J2" s="7" t="str">
        <x:v>先完成硬门槛与实际主图核验；只有“严格”行才计算市场机会分并进入排名。缺失值保持空白。</x:v>
      </x:c>
      <x:c r="K2" s="7" t="str">
        <x:v>先完成硬门槛与实际主图核验；只有“严格”行才计算市场机会分并进入排名。缺失值保持空白。</x:v>
      </x:c>
      <x:c r="L2" s="7" t="str">
        <x:v>先完成硬门槛与实际主图核验；只有“严格”行才计算市场机会分并进入排名。缺失值保持空白。</x:v>
      </x:c>
      <x:c r="M2" s="7" t="str">
        <x:v>先完成硬门槛与实际主图核验；只有“严格”行才计算市场机会分并进入排名。缺失值保持空白。</x:v>
      </x:c>
      <x:c r="N2" s="7" t="str">
        <x:v>先完成硬门槛与实际主图核验；只有“严格”行才计算市场机会分并进入排名。缺失值保持空白。</x:v>
      </x:c>
      <x:c r="O2" s="7" t="str">
        <x:v>先完成硬门槛与实际主图核验；只有“严格”行才计算市场机会分并进入排名。缺失值保持空白。</x:v>
      </x:c>
      <x:c r="P2" s="7" t="str">
        <x:v>先完成硬门槛与实际主图核验；只有“严格”行才计算市场机会分并进入排名。缺失值保持空白。</x:v>
      </x:c>
      <x:c r="Q2" s="7" t="str">
        <x:v>先完成硬门槛与实际主图核验；只有“严格”行才计算市场机会分并进入排名。缺失值保持空白。</x:v>
      </x:c>
      <x:c r="R2" s="7" t="str">
        <x:v>先完成硬门槛与实际主图核验；只有“严格”行才计算市场机会分并进入排名。缺失值保持空白。</x:v>
      </x:c>
      <x:c r="S2" s="7" t="str">
        <x:v>先完成硬门槛与实际主图核验；只有“严格”行才计算市场机会分并进入排名。缺失值保持空白。</x:v>
      </x:c>
      <x:c r="T2" s="7" t="str">
        <x:v>先完成硬门槛与实际主图核验；只有“严格”行才计算市场机会分并进入排名。缺失值保持空白。</x:v>
      </x:c>
      <x:c r="U2" s="7" t="str">
        <x:v>先完成硬门槛与实际主图核验；只有“严格”行才计算市场机会分并进入排名。缺失值保持空白。</x:v>
      </x:c>
      <x:c r="V2" s="7" t="str">
        <x:v>先完成硬门槛与实际主图核验；只有“严格”行才计算市场机会分并进入排名。缺失值保持空白。</x:v>
      </x:c>
      <x:c r="W2" s="7" t="str">
        <x:v>先完成硬门槛与实际主图核验；只有“严格”行才计算市场机会分并进入排名。缺失值保持空白。</x:v>
      </x:c>
      <x:c r="X2" s="7" t="str">
        <x:v>先完成硬门槛与实际主图核验；只有“严格”行才计算市场机会分并进入排名。缺失值保持空白。</x:v>
      </x:c>
      <x:c r="Y2" s="7" t="str">
        <x:v>先完成硬门槛与实际主图核验；只有“严格”行才计算市场机会分并进入排名。缺失值保持空白。</x:v>
      </x:c>
      <x:c r="Z2" s="7" t="str">
        <x:v>先完成硬门槛与实际主图核验；只有“严格”行才计算市场机会分并进入排名。缺失值保持空白。</x:v>
      </x:c>
      <x:c r="AA2" s="7" t="str">
        <x:v>先完成硬门槛与实际主图核验；只有“严格”行才计算市场机会分并进入排名。缺失值保持空白。</x:v>
      </x:c>
      <x:c r="AB2" s="7" t="str">
        <x:v>先完成硬门槛与实际主图核验；只有“严格”行才计算市场机会分并进入排名。缺失值保持空白。</x:v>
      </x:c>
      <x:c r="AC2" s="7" t="str">
        <x:v>先完成硬门槛与实际主图核验；只有“严格”行才计算市场机会分并进入排名。缺失值保持空白。</x:v>
      </x:c>
      <x:c r="AD2" s="7" t="str">
        <x:v>先完成硬门槛与实际主图核验；只有“严格”行才计算市场机会分并进入排名。缺失值保持空白。</x:v>
      </x:c>
      <x:c r="AE2" s="7" t="str">
        <x:v>先完成硬门槛与实际主图核验；只有“严格”行才计算市场机会分并进入排名。缺失值保持空白。</x:v>
      </x:c>
      <x:c r="AF2" s="7" t="str">
        <x:v>先完成硬门槛与实际主图核验；只有“严格”行才计算市场机会分并进入排名。缺失值保持空白。</x:v>
      </x:c>
      <x:c r="AG2" s="7" t="str">
        <x:v>先完成硬门槛与实际主图核验；只有“严格”行才计算市场机会分并进入排名。缺失值保持空白。</x:v>
      </x:c>
      <x:c r="AH2" s="7" t="str">
        <x:v>先完成硬门槛与实际主图核验；只有“严格”行才计算市场机会分并进入排名。缺失值保持空白。</x:v>
      </x:c>
    </x:row>
    <x:row r="3" ht="42" customHeight="1">
      <x:c r="A3" s="27" t="str">
        <x:v>状态</x:v>
      </x:c>
      <x:c r="B3" s="28" t="str">
        <x:v>排名</x:v>
      </x:c>
      <x:c r="C3" s="28" t="str">
        <x:v>ASIN</x:v>
      </x:c>
      <x:c r="D3" s="28" t="str">
        <x:v>站点</x:v>
      </x:c>
      <x:c r="E3" s="28" t="str">
        <x:v>标题</x:v>
      </x:c>
      <x:c r="F3" s="28" t="str">
        <x:v>商品链接</x:v>
      </x:c>
      <x:c r="G3" s="28" t="str">
        <x:v>主图链接</x:v>
      </x:c>
      <x:c r="H3" s="28" t="str">
        <x:v>变体/SKU</x:v>
      </x:c>
      <x:c r="I3" s="28" t="str">
        <x:v>产品本体门槛</x:v>
      </x:c>
      <x:c r="J3" s="28" t="str">
        <x:v>属性门槛</x:v>
      </x:c>
      <x:c r="K3" s="28" t="str">
        <x:v>详情身份门槛</x:v>
      </x:c>
      <x:c r="L3" s="28" t="str">
        <x:v>主图核验</x:v>
      </x:c>
      <x:c r="M3" s="28" t="str">
        <x:v>证据一致性门槛</x:v>
      </x:c>
      <x:c r="N3" s="28" t="str">
        <x:v>门槛原因</x:v>
      </x:c>
      <x:c r="O3" s="28" t="str">
        <x:v>当前价</x:v>
      </x:c>
      <x:c r="P3" s="28" t="str">
        <x:v>币种</x:v>
      </x:c>
      <x:c r="Q3" s="28" t="str">
        <x:v>评分</x:v>
      </x:c>
      <x:c r="R3" s="28" t="str">
        <x:v>评价数</x:v>
      </x:c>
      <x:c r="S3" s="28" t="str">
        <x:v>指标1原始</x:v>
      </x:c>
      <x:c r="T3" s="28" t="str">
        <x:v>指标1分</x:v>
      </x:c>
      <x:c r="U3" s="28" t="str">
        <x:v>指标2原始</x:v>
      </x:c>
      <x:c r="V3" s="28" t="str">
        <x:v>指标2分</x:v>
      </x:c>
      <x:c r="W3" s="28" t="str">
        <x:v>指标3原始</x:v>
      </x:c>
      <x:c r="X3" s="28" t="str">
        <x:v>指标3分</x:v>
      </x:c>
      <x:c r="Y3" s="28" t="str">
        <x:v>指标4原始</x:v>
      </x:c>
      <x:c r="Z3" s="28" t="str">
        <x:v>指标4分</x:v>
      </x:c>
      <x:c r="AA3" s="28" t="str">
        <x:v>市场机会分</x:v>
      </x:c>
      <x:c r="AB3" s="28" t="str">
        <x:v>来源类型</x:v>
      </x:c>
      <x:c r="AC3" s="28" t="str">
        <x:v>证据链接</x:v>
      </x:c>
      <x:c r="AD3" s="28" t="str">
        <x:v>检索路径</x:v>
      </x:c>
      <x:c r="AE3" s="28" t="str">
        <x:v>抓取时间</x:v>
      </x:c>
      <x:c r="AF3" s="28" t="str">
        <x:v>置信度</x:v>
      </x:c>
      <x:c r="AG3" s="28" t="str">
        <x:v>冲突说明</x:v>
      </x:c>
      <x:c r="AH3" s="29" t="str">
        <x:v>决策日志引用</x:v>
      </x:c>
    </x:row>
    <x:row r="4" ht="30" customHeight="1">
      <x:c r="A4" s="34"/>
      <x:c r="B4" s="35" t="str">
        <x:f>IF(AND($A4="严格",ISNUMBER($AA4)),RANK.EQ($AA4,$AA$4:$AA$23,0),"")</x:f>
      </x:c>
      <x:c r="C4" s="40"/>
      <x:c r="D4" s="34"/>
      <x:c r="E4" s="34"/>
      <x:c r="F4" s="34"/>
      <x:c r="G4" s="34"/>
      <x:c r="H4" s="40"/>
      <x:c r="I4" s="34"/>
      <x:c r="J4" s="34"/>
      <x:c r="K4" s="34"/>
      <x:c r="L4" s="34"/>
      <x:c r="M4" s="34"/>
      <x:c r="N4" s="34"/>
      <x:c r="O4" s="43"/>
      <x:c r="P4" s="34"/>
      <x:c r="Q4" s="46"/>
      <x:c r="R4" s="49"/>
      <x:c r="S4" s="34"/>
      <x:c r="T4" s="46"/>
      <x:c r="U4" s="46"/>
      <x:c r="V4" s="46"/>
      <x:c r="W4" s="46"/>
      <x:c r="X4" s="46"/>
      <x:c r="Y4" s="46"/>
      <x:c r="Z4" s="46"/>
      <x:c r="AA4" s="52" t="str">
        <x:f>IF(AND($A4="严格",COUNT($T4,$V4,$X4,$Z4)=4,SUM('任务说明'!$O$5:$O$8)=100),($T4*'任务说明'!$O$5+$V4*'任务说明'!$O$6+$X4*'任务说明'!$O$7+$Z4*'任务说明'!$O$8)/100,"")</x:f>
      </x:c>
      <x:c r="AB4" s="34"/>
      <x:c r="AC4" s="34"/>
      <x:c r="AD4" s="34"/>
      <x:c r="AE4" s="55"/>
      <x:c r="AF4" s="34"/>
      <x:c r="AG4" s="34"/>
      <x:c r="AH4" s="34"/>
    </x:row>
    <x:row r="5" ht="30" customHeight="1">
      <x:c r="A5" s="36"/>
      <x:c r="B5" s="37" t="str">
        <x:f>IF(AND($A5="严格",ISNUMBER($AA5)),RANK.EQ($AA5,$AA$4:$AA$23,0),"")</x:f>
      </x:c>
      <x:c r="C5" s="41"/>
      <x:c r="D5" s="36"/>
      <x:c r="E5" s="36"/>
      <x:c r="F5" s="36"/>
      <x:c r="G5" s="36"/>
      <x:c r="H5" s="41"/>
      <x:c r="I5" s="36"/>
      <x:c r="J5" s="36"/>
      <x:c r="K5" s="36"/>
      <x:c r="L5" s="36"/>
      <x:c r="M5" s="36"/>
      <x:c r="N5" s="36"/>
      <x:c r="O5" s="44"/>
      <x:c r="P5" s="36"/>
      <x:c r="Q5" s="47"/>
      <x:c r="R5" s="50"/>
      <x:c r="S5" s="36"/>
      <x:c r="T5" s="47"/>
      <x:c r="U5" s="47"/>
      <x:c r="V5" s="47"/>
      <x:c r="W5" s="47"/>
      <x:c r="X5" s="47"/>
      <x:c r="Y5" s="47"/>
      <x:c r="Z5" s="47"/>
      <x:c r="AA5" s="53" t="str">
        <x:f>IF(AND($A5="严格",COUNT($T5,$V5,$X5,$Z5)=4,SUM('任务说明'!$O$5:$O$8)=100),($T5*'任务说明'!$O$5+$V5*'任务说明'!$O$6+$X5*'任务说明'!$O$7+$Z5*'任务说明'!$O$8)/100,"")</x:f>
      </x:c>
      <x:c r="AB5" s="36"/>
      <x:c r="AC5" s="36"/>
      <x:c r="AD5" s="36"/>
      <x:c r="AE5" s="56"/>
      <x:c r="AF5" s="36"/>
      <x:c r="AG5" s="36"/>
      <x:c r="AH5" s="36"/>
    </x:row>
    <x:row r="6" ht="30" customHeight="1">
      <x:c r="A6" s="36"/>
      <x:c r="B6" s="37" t="str">
        <x:f>IF(AND($A6="严格",ISNUMBER($AA6)),RANK.EQ($AA6,$AA$4:$AA$23,0),"")</x:f>
      </x:c>
      <x:c r="C6" s="41"/>
      <x:c r="D6" s="36"/>
      <x:c r="E6" s="36"/>
      <x:c r="F6" s="36"/>
      <x:c r="G6" s="36"/>
      <x:c r="H6" s="41"/>
      <x:c r="I6" s="36"/>
      <x:c r="J6" s="36"/>
      <x:c r="K6" s="36"/>
      <x:c r="L6" s="36"/>
      <x:c r="M6" s="36"/>
      <x:c r="N6" s="36"/>
      <x:c r="O6" s="44"/>
      <x:c r="P6" s="36"/>
      <x:c r="Q6" s="47"/>
      <x:c r="R6" s="50"/>
      <x:c r="S6" s="36"/>
      <x:c r="T6" s="47"/>
      <x:c r="U6" s="47"/>
      <x:c r="V6" s="47"/>
      <x:c r="W6" s="47"/>
      <x:c r="X6" s="47"/>
      <x:c r="Y6" s="47"/>
      <x:c r="Z6" s="47"/>
      <x:c r="AA6" s="53" t="str">
        <x:f>IF(AND($A6="严格",COUNT($T6,$V6,$X6,$Z6)=4,SUM('任务说明'!$O$5:$O$8)=100),($T6*'任务说明'!$O$5+$V6*'任务说明'!$O$6+$X6*'任务说明'!$O$7+$Z6*'任务说明'!$O$8)/100,"")</x:f>
      </x:c>
      <x:c r="AB6" s="36"/>
      <x:c r="AC6" s="36"/>
      <x:c r="AD6" s="36"/>
      <x:c r="AE6" s="56"/>
      <x:c r="AF6" s="36"/>
      <x:c r="AG6" s="36"/>
      <x:c r="AH6" s="36"/>
    </x:row>
    <x:row r="7" ht="30" customHeight="1">
      <x:c r="A7" s="36"/>
      <x:c r="B7" s="37" t="str">
        <x:f>IF(AND($A7="严格",ISNUMBER($AA7)),RANK.EQ($AA7,$AA$4:$AA$23,0),"")</x:f>
      </x:c>
      <x:c r="C7" s="41"/>
      <x:c r="D7" s="36"/>
      <x:c r="E7" s="36"/>
      <x:c r="F7" s="36"/>
      <x:c r="G7" s="36"/>
      <x:c r="H7" s="41"/>
      <x:c r="I7" s="36"/>
      <x:c r="J7" s="36"/>
      <x:c r="K7" s="36"/>
      <x:c r="L7" s="36"/>
      <x:c r="M7" s="36"/>
      <x:c r="N7" s="36"/>
      <x:c r="O7" s="44"/>
      <x:c r="P7" s="36"/>
      <x:c r="Q7" s="47"/>
      <x:c r="R7" s="50"/>
      <x:c r="S7" s="36"/>
      <x:c r="T7" s="47"/>
      <x:c r="U7" s="47"/>
      <x:c r="V7" s="47"/>
      <x:c r="W7" s="47"/>
      <x:c r="X7" s="47"/>
      <x:c r="Y7" s="47"/>
      <x:c r="Z7" s="47"/>
      <x:c r="AA7" s="53" t="str">
        <x:f>IF(AND($A7="严格",COUNT($T7,$V7,$X7,$Z7)=4,SUM('任务说明'!$O$5:$O$8)=100),($T7*'任务说明'!$O$5+$V7*'任务说明'!$O$6+$X7*'任务说明'!$O$7+$Z7*'任务说明'!$O$8)/100,"")</x:f>
      </x:c>
      <x:c r="AB7" s="36"/>
      <x:c r="AC7" s="36"/>
      <x:c r="AD7" s="36"/>
      <x:c r="AE7" s="56"/>
      <x:c r="AF7" s="36"/>
      <x:c r="AG7" s="36"/>
      <x:c r="AH7" s="36"/>
    </x:row>
    <x:row r="8" ht="30" customHeight="1">
      <x:c r="A8" s="36"/>
      <x:c r="B8" s="37" t="str">
        <x:f>IF(AND($A8="严格",ISNUMBER($AA8)),RANK.EQ($AA8,$AA$4:$AA$23,0),"")</x:f>
      </x:c>
      <x:c r="C8" s="41"/>
      <x:c r="D8" s="36"/>
      <x:c r="E8" s="36"/>
      <x:c r="F8" s="36"/>
      <x:c r="G8" s="36"/>
      <x:c r="H8" s="41"/>
      <x:c r="I8" s="36"/>
      <x:c r="J8" s="36"/>
      <x:c r="K8" s="36"/>
      <x:c r="L8" s="36"/>
      <x:c r="M8" s="36"/>
      <x:c r="N8" s="36"/>
      <x:c r="O8" s="44"/>
      <x:c r="P8" s="36"/>
      <x:c r="Q8" s="47"/>
      <x:c r="R8" s="50"/>
      <x:c r="S8" s="36"/>
      <x:c r="T8" s="47"/>
      <x:c r="U8" s="47"/>
      <x:c r="V8" s="47"/>
      <x:c r="W8" s="47"/>
      <x:c r="X8" s="47"/>
      <x:c r="Y8" s="47"/>
      <x:c r="Z8" s="47"/>
      <x:c r="AA8" s="53" t="str">
        <x:f>IF(AND($A8="严格",COUNT($T8,$V8,$X8,$Z8)=4,SUM('任务说明'!$O$5:$O$8)=100),($T8*'任务说明'!$O$5+$V8*'任务说明'!$O$6+$X8*'任务说明'!$O$7+$Z8*'任务说明'!$O$8)/100,"")</x:f>
      </x:c>
      <x:c r="AB8" s="36"/>
      <x:c r="AC8" s="36"/>
      <x:c r="AD8" s="36"/>
      <x:c r="AE8" s="56"/>
      <x:c r="AF8" s="36"/>
      <x:c r="AG8" s="36"/>
      <x:c r="AH8" s="36"/>
    </x:row>
    <x:row r="9" ht="30" customHeight="1">
      <x:c r="A9" s="36"/>
      <x:c r="B9" s="37" t="str">
        <x:f>IF(AND($A9="严格",ISNUMBER($AA9)),RANK.EQ($AA9,$AA$4:$AA$23,0),"")</x:f>
      </x:c>
      <x:c r="C9" s="41"/>
      <x:c r="D9" s="36"/>
      <x:c r="E9" s="36"/>
      <x:c r="F9" s="36"/>
      <x:c r="G9" s="36"/>
      <x:c r="H9" s="41"/>
      <x:c r="I9" s="36"/>
      <x:c r="J9" s="36"/>
      <x:c r="K9" s="36"/>
      <x:c r="L9" s="36"/>
      <x:c r="M9" s="36"/>
      <x:c r="N9" s="36"/>
      <x:c r="O9" s="44"/>
      <x:c r="P9" s="36"/>
      <x:c r="Q9" s="47"/>
      <x:c r="R9" s="50"/>
      <x:c r="S9" s="36"/>
      <x:c r="T9" s="47"/>
      <x:c r="U9" s="47"/>
      <x:c r="V9" s="47"/>
      <x:c r="W9" s="47"/>
      <x:c r="X9" s="47"/>
      <x:c r="Y9" s="47"/>
      <x:c r="Z9" s="47"/>
      <x:c r="AA9" s="53" t="str">
        <x:f>IF(AND($A9="严格",COUNT($T9,$V9,$X9,$Z9)=4,SUM('任务说明'!$O$5:$O$8)=100),($T9*'任务说明'!$O$5+$V9*'任务说明'!$O$6+$X9*'任务说明'!$O$7+$Z9*'任务说明'!$O$8)/100,"")</x:f>
      </x:c>
      <x:c r="AB9" s="36"/>
      <x:c r="AC9" s="36"/>
      <x:c r="AD9" s="36"/>
      <x:c r="AE9" s="56"/>
      <x:c r="AF9" s="36"/>
      <x:c r="AG9" s="36"/>
      <x:c r="AH9" s="36"/>
    </x:row>
    <x:row r="10" ht="30" customHeight="1">
      <x:c r="A10" s="36"/>
      <x:c r="B10" s="37" t="str">
        <x:f>IF(AND($A10="严格",ISNUMBER($AA10)),RANK.EQ($AA10,$AA$4:$AA$23,0),"")</x:f>
      </x:c>
      <x:c r="C10" s="41"/>
      <x:c r="D10" s="36"/>
      <x:c r="E10" s="36"/>
      <x:c r="F10" s="36"/>
      <x:c r="G10" s="36"/>
      <x:c r="H10" s="41"/>
      <x:c r="I10" s="36"/>
      <x:c r="J10" s="36"/>
      <x:c r="K10" s="36"/>
      <x:c r="L10" s="36"/>
      <x:c r="M10" s="36"/>
      <x:c r="N10" s="36"/>
      <x:c r="O10" s="44"/>
      <x:c r="P10" s="36"/>
      <x:c r="Q10" s="47"/>
      <x:c r="R10" s="50"/>
      <x:c r="S10" s="36"/>
      <x:c r="T10" s="47"/>
      <x:c r="U10" s="47"/>
      <x:c r="V10" s="47"/>
      <x:c r="W10" s="47"/>
      <x:c r="X10" s="47"/>
      <x:c r="Y10" s="47"/>
      <x:c r="Z10" s="47"/>
      <x:c r="AA10" s="53" t="str">
        <x:f>IF(AND($A10="严格",COUNT($T10,$V10,$X10,$Z10)=4,SUM('任务说明'!$O$5:$O$8)=100),($T10*'任务说明'!$O$5+$V10*'任务说明'!$O$6+$X10*'任务说明'!$O$7+$Z10*'任务说明'!$O$8)/100,"")</x:f>
      </x:c>
      <x:c r="AB10" s="36"/>
      <x:c r="AC10" s="36"/>
      <x:c r="AD10" s="36"/>
      <x:c r="AE10" s="56"/>
      <x:c r="AF10" s="36"/>
      <x:c r="AG10" s="36"/>
      <x:c r="AH10" s="36"/>
    </x:row>
    <x:row r="11" ht="30" customHeight="1">
      <x:c r="A11" s="36"/>
      <x:c r="B11" s="37" t="str">
        <x:f>IF(AND($A11="严格",ISNUMBER($AA11)),RANK.EQ($AA11,$AA$4:$AA$23,0),"")</x:f>
      </x:c>
      <x:c r="C11" s="41"/>
      <x:c r="D11" s="36"/>
      <x:c r="E11" s="36"/>
      <x:c r="F11" s="36"/>
      <x:c r="G11" s="36"/>
      <x:c r="H11" s="41"/>
      <x:c r="I11" s="36"/>
      <x:c r="J11" s="36"/>
      <x:c r="K11" s="36"/>
      <x:c r="L11" s="36"/>
      <x:c r="M11" s="36"/>
      <x:c r="N11" s="36"/>
      <x:c r="O11" s="44"/>
      <x:c r="P11" s="36"/>
      <x:c r="Q11" s="47"/>
      <x:c r="R11" s="50"/>
      <x:c r="S11" s="36"/>
      <x:c r="T11" s="47"/>
      <x:c r="U11" s="47"/>
      <x:c r="V11" s="47"/>
      <x:c r="W11" s="47"/>
      <x:c r="X11" s="47"/>
      <x:c r="Y11" s="47"/>
      <x:c r="Z11" s="47"/>
      <x:c r="AA11" s="53" t="str">
        <x:f>IF(AND($A11="严格",COUNT($T11,$V11,$X11,$Z11)=4,SUM('任务说明'!$O$5:$O$8)=100),($T11*'任务说明'!$O$5+$V11*'任务说明'!$O$6+$X11*'任务说明'!$O$7+$Z11*'任务说明'!$O$8)/100,"")</x:f>
      </x:c>
      <x:c r="AB11" s="36"/>
      <x:c r="AC11" s="36"/>
      <x:c r="AD11" s="36"/>
      <x:c r="AE11" s="56"/>
      <x:c r="AF11" s="36"/>
      <x:c r="AG11" s="36"/>
      <x:c r="AH11" s="36"/>
    </x:row>
    <x:row r="12" ht="30" customHeight="1">
      <x:c r="A12" s="36"/>
      <x:c r="B12" s="37" t="str">
        <x:f>IF(AND($A12="严格",ISNUMBER($AA12)),RANK.EQ($AA12,$AA$4:$AA$23,0),"")</x:f>
      </x:c>
      <x:c r="C12" s="41"/>
      <x:c r="D12" s="36"/>
      <x:c r="E12" s="36"/>
      <x:c r="F12" s="36"/>
      <x:c r="G12" s="36"/>
      <x:c r="H12" s="41"/>
      <x:c r="I12" s="36"/>
      <x:c r="J12" s="36"/>
      <x:c r="K12" s="36"/>
      <x:c r="L12" s="36"/>
      <x:c r="M12" s="36"/>
      <x:c r="N12" s="36"/>
      <x:c r="O12" s="44"/>
      <x:c r="P12" s="36"/>
      <x:c r="Q12" s="47"/>
      <x:c r="R12" s="50"/>
      <x:c r="S12" s="36"/>
      <x:c r="T12" s="47"/>
      <x:c r="U12" s="47"/>
      <x:c r="V12" s="47"/>
      <x:c r="W12" s="47"/>
      <x:c r="X12" s="47"/>
      <x:c r="Y12" s="47"/>
      <x:c r="Z12" s="47"/>
      <x:c r="AA12" s="53" t="str">
        <x:f>IF(AND($A12="严格",COUNT($T12,$V12,$X12,$Z12)=4,SUM('任务说明'!$O$5:$O$8)=100),($T12*'任务说明'!$O$5+$V12*'任务说明'!$O$6+$X12*'任务说明'!$O$7+$Z12*'任务说明'!$O$8)/100,"")</x:f>
      </x:c>
      <x:c r="AB12" s="36"/>
      <x:c r="AC12" s="36"/>
      <x:c r="AD12" s="36"/>
      <x:c r="AE12" s="56"/>
      <x:c r="AF12" s="36"/>
      <x:c r="AG12" s="36"/>
      <x:c r="AH12" s="36"/>
    </x:row>
    <x:row r="13" ht="30" customHeight="1">
      <x:c r="A13" s="36"/>
      <x:c r="B13" s="37" t="str">
        <x:f>IF(AND($A13="严格",ISNUMBER($AA13)),RANK.EQ($AA13,$AA$4:$AA$23,0),"")</x:f>
      </x:c>
      <x:c r="C13" s="41"/>
      <x:c r="D13" s="36"/>
      <x:c r="E13" s="36"/>
      <x:c r="F13" s="36"/>
      <x:c r="G13" s="36"/>
      <x:c r="H13" s="41"/>
      <x:c r="I13" s="36"/>
      <x:c r="J13" s="36"/>
      <x:c r="K13" s="36"/>
      <x:c r="L13" s="36"/>
      <x:c r="M13" s="36"/>
      <x:c r="N13" s="36"/>
      <x:c r="O13" s="44"/>
      <x:c r="P13" s="36"/>
      <x:c r="Q13" s="47"/>
      <x:c r="R13" s="50"/>
      <x:c r="S13" s="36"/>
      <x:c r="T13" s="47"/>
      <x:c r="U13" s="47"/>
      <x:c r="V13" s="47"/>
      <x:c r="W13" s="47"/>
      <x:c r="X13" s="47"/>
      <x:c r="Y13" s="47"/>
      <x:c r="Z13" s="47"/>
      <x:c r="AA13" s="53" t="str">
        <x:f>IF(AND($A13="严格",COUNT($T13,$V13,$X13,$Z13)=4,SUM('任务说明'!$O$5:$O$8)=100),($T13*'任务说明'!$O$5+$V13*'任务说明'!$O$6+$X13*'任务说明'!$O$7+$Z13*'任务说明'!$O$8)/100,"")</x:f>
      </x:c>
      <x:c r="AB13" s="36"/>
      <x:c r="AC13" s="36"/>
      <x:c r="AD13" s="36"/>
      <x:c r="AE13" s="56"/>
      <x:c r="AF13" s="36"/>
      <x:c r="AG13" s="36"/>
      <x:c r="AH13" s="36"/>
    </x:row>
    <x:row r="14" ht="30" customHeight="1">
      <x:c r="A14" s="36"/>
      <x:c r="B14" s="37" t="str">
        <x:f>IF(AND($A14="严格",ISNUMBER($AA14)),RANK.EQ($AA14,$AA$4:$AA$23,0),"")</x:f>
      </x:c>
      <x:c r="C14" s="41"/>
      <x:c r="D14" s="36"/>
      <x:c r="E14" s="36"/>
      <x:c r="F14" s="36"/>
      <x:c r="G14" s="36"/>
      <x:c r="H14" s="41"/>
      <x:c r="I14" s="36"/>
      <x:c r="J14" s="36"/>
      <x:c r="K14" s="36"/>
      <x:c r="L14" s="36"/>
      <x:c r="M14" s="36"/>
      <x:c r="N14" s="36"/>
      <x:c r="O14" s="44"/>
      <x:c r="P14" s="36"/>
      <x:c r="Q14" s="47"/>
      <x:c r="R14" s="50"/>
      <x:c r="S14" s="36"/>
      <x:c r="T14" s="47"/>
      <x:c r="U14" s="47"/>
      <x:c r="V14" s="47"/>
      <x:c r="W14" s="47"/>
      <x:c r="X14" s="47"/>
      <x:c r="Y14" s="47"/>
      <x:c r="Z14" s="47"/>
      <x:c r="AA14" s="53" t="str">
        <x:f>IF(AND($A14="严格",COUNT($T14,$V14,$X14,$Z14)=4,SUM('任务说明'!$O$5:$O$8)=100),($T14*'任务说明'!$O$5+$V14*'任务说明'!$O$6+$X14*'任务说明'!$O$7+$Z14*'任务说明'!$O$8)/100,"")</x:f>
      </x:c>
      <x:c r="AB14" s="36"/>
      <x:c r="AC14" s="36"/>
      <x:c r="AD14" s="36"/>
      <x:c r="AE14" s="56"/>
      <x:c r="AF14" s="36"/>
      <x:c r="AG14" s="36"/>
      <x:c r="AH14" s="36"/>
    </x:row>
    <x:row r="15" ht="30" customHeight="1">
      <x:c r="A15" s="36"/>
      <x:c r="B15" s="37" t="str">
        <x:f>IF(AND($A15="严格",ISNUMBER($AA15)),RANK.EQ($AA15,$AA$4:$AA$23,0),"")</x:f>
      </x:c>
      <x:c r="C15" s="41"/>
      <x:c r="D15" s="36"/>
      <x:c r="E15" s="36"/>
      <x:c r="F15" s="36"/>
      <x:c r="G15" s="36"/>
      <x:c r="H15" s="41"/>
      <x:c r="I15" s="36"/>
      <x:c r="J15" s="36"/>
      <x:c r="K15" s="36"/>
      <x:c r="L15" s="36"/>
      <x:c r="M15" s="36"/>
      <x:c r="N15" s="36"/>
      <x:c r="O15" s="44"/>
      <x:c r="P15" s="36"/>
      <x:c r="Q15" s="47"/>
      <x:c r="R15" s="50"/>
      <x:c r="S15" s="36"/>
      <x:c r="T15" s="47"/>
      <x:c r="U15" s="47"/>
      <x:c r="V15" s="47"/>
      <x:c r="W15" s="47"/>
      <x:c r="X15" s="47"/>
      <x:c r="Y15" s="47"/>
      <x:c r="Z15" s="47"/>
      <x:c r="AA15" s="53" t="str">
        <x:f>IF(AND($A15="严格",COUNT($T15,$V15,$X15,$Z15)=4,SUM('任务说明'!$O$5:$O$8)=100),($T15*'任务说明'!$O$5+$V15*'任务说明'!$O$6+$X15*'任务说明'!$O$7+$Z15*'任务说明'!$O$8)/100,"")</x:f>
      </x:c>
      <x:c r="AB15" s="36"/>
      <x:c r="AC15" s="36"/>
      <x:c r="AD15" s="36"/>
      <x:c r="AE15" s="56"/>
      <x:c r="AF15" s="36"/>
      <x:c r="AG15" s="36"/>
      <x:c r="AH15" s="36"/>
    </x:row>
    <x:row r="16" ht="30" customHeight="1">
      <x:c r="A16" s="36"/>
      <x:c r="B16" s="37" t="str">
        <x:f>IF(AND($A16="严格",ISNUMBER($AA16)),RANK.EQ($AA16,$AA$4:$AA$23,0),"")</x:f>
      </x:c>
      <x:c r="C16" s="41"/>
      <x:c r="D16" s="36"/>
      <x:c r="E16" s="36"/>
      <x:c r="F16" s="36"/>
      <x:c r="G16" s="36"/>
      <x:c r="H16" s="41"/>
      <x:c r="I16" s="36"/>
      <x:c r="J16" s="36"/>
      <x:c r="K16" s="36"/>
      <x:c r="L16" s="36"/>
      <x:c r="M16" s="36"/>
      <x:c r="N16" s="36"/>
      <x:c r="O16" s="44"/>
      <x:c r="P16" s="36"/>
      <x:c r="Q16" s="47"/>
      <x:c r="R16" s="50"/>
      <x:c r="S16" s="36"/>
      <x:c r="T16" s="47"/>
      <x:c r="U16" s="47"/>
      <x:c r="V16" s="47"/>
      <x:c r="W16" s="47"/>
      <x:c r="X16" s="47"/>
      <x:c r="Y16" s="47"/>
      <x:c r="Z16" s="47"/>
      <x:c r="AA16" s="53" t="str">
        <x:f>IF(AND($A16="严格",COUNT($T16,$V16,$X16,$Z16)=4,SUM('任务说明'!$O$5:$O$8)=100),($T16*'任务说明'!$O$5+$V16*'任务说明'!$O$6+$X16*'任务说明'!$O$7+$Z16*'任务说明'!$O$8)/100,"")</x:f>
      </x:c>
      <x:c r="AB16" s="36"/>
      <x:c r="AC16" s="36"/>
      <x:c r="AD16" s="36"/>
      <x:c r="AE16" s="56"/>
      <x:c r="AF16" s="36"/>
      <x:c r="AG16" s="36"/>
      <x:c r="AH16" s="36"/>
    </x:row>
    <x:row r="17" ht="30" customHeight="1">
      <x:c r="A17" s="36"/>
      <x:c r="B17" s="37" t="str">
        <x:f>IF(AND($A17="严格",ISNUMBER($AA17)),RANK.EQ($AA17,$AA$4:$AA$23,0),"")</x:f>
      </x:c>
      <x:c r="C17" s="41"/>
      <x:c r="D17" s="36"/>
      <x:c r="E17" s="36"/>
      <x:c r="F17" s="36"/>
      <x:c r="G17" s="36"/>
      <x:c r="H17" s="41"/>
      <x:c r="I17" s="36"/>
      <x:c r="J17" s="36"/>
      <x:c r="K17" s="36"/>
      <x:c r="L17" s="36"/>
      <x:c r="M17" s="36"/>
      <x:c r="N17" s="36"/>
      <x:c r="O17" s="44"/>
      <x:c r="P17" s="36"/>
      <x:c r="Q17" s="47"/>
      <x:c r="R17" s="50"/>
      <x:c r="S17" s="36"/>
      <x:c r="T17" s="47"/>
      <x:c r="U17" s="47"/>
      <x:c r="V17" s="47"/>
      <x:c r="W17" s="47"/>
      <x:c r="X17" s="47"/>
      <x:c r="Y17" s="47"/>
      <x:c r="Z17" s="47"/>
      <x:c r="AA17" s="53" t="str">
        <x:f>IF(AND($A17="严格",COUNT($T17,$V17,$X17,$Z17)=4,SUM('任务说明'!$O$5:$O$8)=100),($T17*'任务说明'!$O$5+$V17*'任务说明'!$O$6+$X17*'任务说明'!$O$7+$Z17*'任务说明'!$O$8)/100,"")</x:f>
      </x:c>
      <x:c r="AB17" s="36"/>
      <x:c r="AC17" s="36"/>
      <x:c r="AD17" s="36"/>
      <x:c r="AE17" s="56"/>
      <x:c r="AF17" s="36"/>
      <x:c r="AG17" s="36"/>
      <x:c r="AH17" s="36"/>
    </x:row>
    <x:row r="18" ht="30" customHeight="1">
      <x:c r="A18" s="36"/>
      <x:c r="B18" s="37" t="str">
        <x:f>IF(AND($A18="严格",ISNUMBER($AA18)),RANK.EQ($AA18,$AA$4:$AA$23,0),"")</x:f>
      </x:c>
      <x:c r="C18" s="41"/>
      <x:c r="D18" s="36"/>
      <x:c r="E18" s="36"/>
      <x:c r="F18" s="36"/>
      <x:c r="G18" s="36"/>
      <x:c r="H18" s="41"/>
      <x:c r="I18" s="36"/>
      <x:c r="J18" s="36"/>
      <x:c r="K18" s="36"/>
      <x:c r="L18" s="36"/>
      <x:c r="M18" s="36"/>
      <x:c r="N18" s="36"/>
      <x:c r="O18" s="44"/>
      <x:c r="P18" s="36"/>
      <x:c r="Q18" s="47"/>
      <x:c r="R18" s="50"/>
      <x:c r="S18" s="36"/>
      <x:c r="T18" s="47"/>
      <x:c r="U18" s="47"/>
      <x:c r="V18" s="47"/>
      <x:c r="W18" s="47"/>
      <x:c r="X18" s="47"/>
      <x:c r="Y18" s="47"/>
      <x:c r="Z18" s="47"/>
      <x:c r="AA18" s="53" t="str">
        <x:f>IF(AND($A18="严格",COUNT($T18,$V18,$X18,$Z18)=4,SUM('任务说明'!$O$5:$O$8)=100),($T18*'任务说明'!$O$5+$V18*'任务说明'!$O$6+$X18*'任务说明'!$O$7+$Z18*'任务说明'!$O$8)/100,"")</x:f>
      </x:c>
      <x:c r="AB18" s="36"/>
      <x:c r="AC18" s="36"/>
      <x:c r="AD18" s="36"/>
      <x:c r="AE18" s="56"/>
      <x:c r="AF18" s="36"/>
      <x:c r="AG18" s="36"/>
      <x:c r="AH18" s="36"/>
    </x:row>
    <x:row r="19" ht="30" customHeight="1">
      <x:c r="A19" s="36"/>
      <x:c r="B19" s="37" t="str">
        <x:f>IF(AND($A19="严格",ISNUMBER($AA19)),RANK.EQ($AA19,$AA$4:$AA$23,0),"")</x:f>
      </x:c>
      <x:c r="C19" s="41"/>
      <x:c r="D19" s="36"/>
      <x:c r="E19" s="36"/>
      <x:c r="F19" s="36"/>
      <x:c r="G19" s="36"/>
      <x:c r="H19" s="41"/>
      <x:c r="I19" s="36"/>
      <x:c r="J19" s="36"/>
      <x:c r="K19" s="36"/>
      <x:c r="L19" s="36"/>
      <x:c r="M19" s="36"/>
      <x:c r="N19" s="36"/>
      <x:c r="O19" s="44"/>
      <x:c r="P19" s="36"/>
      <x:c r="Q19" s="47"/>
      <x:c r="R19" s="50"/>
      <x:c r="S19" s="36"/>
      <x:c r="T19" s="47"/>
      <x:c r="U19" s="47"/>
      <x:c r="V19" s="47"/>
      <x:c r="W19" s="47"/>
      <x:c r="X19" s="47"/>
      <x:c r="Y19" s="47"/>
      <x:c r="Z19" s="47"/>
      <x:c r="AA19" s="53" t="str">
        <x:f>IF(AND($A19="严格",COUNT($T19,$V19,$X19,$Z19)=4,SUM('任务说明'!$O$5:$O$8)=100),($T19*'任务说明'!$O$5+$V19*'任务说明'!$O$6+$X19*'任务说明'!$O$7+$Z19*'任务说明'!$O$8)/100,"")</x:f>
      </x:c>
      <x:c r="AB19" s="36"/>
      <x:c r="AC19" s="36"/>
      <x:c r="AD19" s="36"/>
      <x:c r="AE19" s="56"/>
      <x:c r="AF19" s="36"/>
      <x:c r="AG19" s="36"/>
      <x:c r="AH19" s="36"/>
    </x:row>
    <x:row r="20" ht="30" customHeight="1">
      <x:c r="A20" s="36"/>
      <x:c r="B20" s="37" t="str">
        <x:f>IF(AND($A20="严格",ISNUMBER($AA20)),RANK.EQ($AA20,$AA$4:$AA$23,0),"")</x:f>
      </x:c>
      <x:c r="C20" s="41"/>
      <x:c r="D20" s="36"/>
      <x:c r="E20" s="36"/>
      <x:c r="F20" s="36"/>
      <x:c r="G20" s="36"/>
      <x:c r="H20" s="41"/>
      <x:c r="I20" s="36"/>
      <x:c r="J20" s="36"/>
      <x:c r="K20" s="36"/>
      <x:c r="L20" s="36"/>
      <x:c r="M20" s="36"/>
      <x:c r="N20" s="36"/>
      <x:c r="O20" s="44"/>
      <x:c r="P20" s="36"/>
      <x:c r="Q20" s="47"/>
      <x:c r="R20" s="50"/>
      <x:c r="S20" s="36"/>
      <x:c r="T20" s="47"/>
      <x:c r="U20" s="47"/>
      <x:c r="V20" s="47"/>
      <x:c r="W20" s="47"/>
      <x:c r="X20" s="47"/>
      <x:c r="Y20" s="47"/>
      <x:c r="Z20" s="47"/>
      <x:c r="AA20" s="53" t="str">
        <x:f>IF(AND($A20="严格",COUNT($T20,$V20,$X20,$Z20)=4,SUM('任务说明'!$O$5:$O$8)=100),($T20*'任务说明'!$O$5+$V20*'任务说明'!$O$6+$X20*'任务说明'!$O$7+$Z20*'任务说明'!$O$8)/100,"")</x:f>
      </x:c>
      <x:c r="AB20" s="36"/>
      <x:c r="AC20" s="36"/>
      <x:c r="AD20" s="36"/>
      <x:c r="AE20" s="56"/>
      <x:c r="AF20" s="36"/>
      <x:c r="AG20" s="36"/>
      <x:c r="AH20" s="36"/>
    </x:row>
    <x:row r="21" ht="30" customHeight="1">
      <x:c r="A21" s="36"/>
      <x:c r="B21" s="37" t="str">
        <x:f>IF(AND($A21="严格",ISNUMBER($AA21)),RANK.EQ($AA21,$AA$4:$AA$23,0),"")</x:f>
      </x:c>
      <x:c r="C21" s="41"/>
      <x:c r="D21" s="36"/>
      <x:c r="E21" s="36"/>
      <x:c r="F21" s="36"/>
      <x:c r="G21" s="36"/>
      <x:c r="H21" s="41"/>
      <x:c r="I21" s="36"/>
      <x:c r="J21" s="36"/>
      <x:c r="K21" s="36"/>
      <x:c r="L21" s="36"/>
      <x:c r="M21" s="36"/>
      <x:c r="N21" s="36"/>
      <x:c r="O21" s="44"/>
      <x:c r="P21" s="36"/>
      <x:c r="Q21" s="47"/>
      <x:c r="R21" s="50"/>
      <x:c r="S21" s="36"/>
      <x:c r="T21" s="47"/>
      <x:c r="U21" s="47"/>
      <x:c r="V21" s="47"/>
      <x:c r="W21" s="47"/>
      <x:c r="X21" s="47"/>
      <x:c r="Y21" s="47"/>
      <x:c r="Z21" s="47"/>
      <x:c r="AA21" s="53" t="str">
        <x:f>IF(AND($A21="严格",COUNT($T21,$V21,$X21,$Z21)=4,SUM('任务说明'!$O$5:$O$8)=100),($T21*'任务说明'!$O$5+$V21*'任务说明'!$O$6+$X21*'任务说明'!$O$7+$Z21*'任务说明'!$O$8)/100,"")</x:f>
      </x:c>
      <x:c r="AB21" s="36"/>
      <x:c r="AC21" s="36"/>
      <x:c r="AD21" s="36"/>
      <x:c r="AE21" s="56"/>
      <x:c r="AF21" s="36"/>
      <x:c r="AG21" s="36"/>
      <x:c r="AH21" s="36"/>
    </x:row>
    <x:row r="22" ht="30" customHeight="1">
      <x:c r="A22" s="36"/>
      <x:c r="B22" s="37" t="str">
        <x:f>IF(AND($A22="严格",ISNUMBER($AA22)),RANK.EQ($AA22,$AA$4:$AA$23,0),"")</x:f>
      </x:c>
      <x:c r="C22" s="41"/>
      <x:c r="D22" s="36"/>
      <x:c r="E22" s="36"/>
      <x:c r="F22" s="36"/>
      <x:c r="G22" s="36"/>
      <x:c r="H22" s="41"/>
      <x:c r="I22" s="36"/>
      <x:c r="J22" s="36"/>
      <x:c r="K22" s="36"/>
      <x:c r="L22" s="36"/>
      <x:c r="M22" s="36"/>
      <x:c r="N22" s="36"/>
      <x:c r="O22" s="44"/>
      <x:c r="P22" s="36"/>
      <x:c r="Q22" s="47"/>
      <x:c r="R22" s="50"/>
      <x:c r="S22" s="36"/>
      <x:c r="T22" s="47"/>
      <x:c r="U22" s="47"/>
      <x:c r="V22" s="47"/>
      <x:c r="W22" s="47"/>
      <x:c r="X22" s="47"/>
      <x:c r="Y22" s="47"/>
      <x:c r="Z22" s="47"/>
      <x:c r="AA22" s="53" t="str">
        <x:f>IF(AND($A22="严格",COUNT($T22,$V22,$X22,$Z22)=4,SUM('任务说明'!$O$5:$O$8)=100),($T22*'任务说明'!$O$5+$V22*'任务说明'!$O$6+$X22*'任务说明'!$O$7+$Z22*'任务说明'!$O$8)/100,"")</x:f>
      </x:c>
      <x:c r="AB22" s="36"/>
      <x:c r="AC22" s="36"/>
      <x:c r="AD22" s="36"/>
      <x:c r="AE22" s="56"/>
      <x:c r="AF22" s="36"/>
      <x:c r="AG22" s="36"/>
      <x:c r="AH22" s="36"/>
    </x:row>
    <x:row r="23" ht="30" customHeight="1">
      <x:c r="A23" s="38"/>
      <x:c r="B23" s="39" t="str">
        <x:f>IF(AND($A23="严格",ISNUMBER($AA23)),RANK.EQ($AA23,$AA$4:$AA$23,0),"")</x:f>
      </x:c>
      <x:c r="C23" s="42"/>
      <x:c r="D23" s="38"/>
      <x:c r="E23" s="38"/>
      <x:c r="F23" s="38"/>
      <x:c r="G23" s="38"/>
      <x:c r="H23" s="42"/>
      <x:c r="I23" s="38"/>
      <x:c r="J23" s="38"/>
      <x:c r="K23" s="38"/>
      <x:c r="L23" s="38"/>
      <x:c r="M23" s="38"/>
      <x:c r="N23" s="38"/>
      <x:c r="O23" s="45"/>
      <x:c r="P23" s="38"/>
      <x:c r="Q23" s="48"/>
      <x:c r="R23" s="51"/>
      <x:c r="S23" s="38"/>
      <x:c r="T23" s="48"/>
      <x:c r="U23" s="48"/>
      <x:c r="V23" s="48"/>
      <x:c r="W23" s="48"/>
      <x:c r="X23" s="48"/>
      <x:c r="Y23" s="48"/>
      <x:c r="Z23" s="48"/>
      <x:c r="AA23" s="54" t="str">
        <x:f>IF(AND($A23="严格",COUNT($T23,$V23,$X23,$Z23)=4,SUM('任务说明'!$O$5:$O$8)=100),($T23*'任务说明'!$O$5+$V23*'任务说明'!$O$6+$X23*'任务说明'!$O$7+$Z23*'任务说明'!$O$8)/100,"")</x:f>
      </x:c>
      <x:c r="AB23" s="38"/>
      <x:c r="AC23" s="38"/>
      <x:c r="AD23" s="38"/>
      <x:c r="AE23" s="57"/>
      <x:c r="AF23" s="38"/>
      <x:c r="AG23" s="38"/>
      <x:c r="AH23" s="38"/>
    </x:row>
  </x:sheetData>
  <x:mergeCells>
    <x:mergeCell ref="A1:AH1"/>
    <x:mergeCell ref="A2:AH2"/>
  </x:mergeCells>
  <x:conditionalFormatting sqref="A4:A23">
    <x:cfRule type="containsText" dxfId="0" priority="1" operator="containsText" text="严格"/>
    <x:cfRule type="containsText" dxfId="1" priority="2" operator="containsText" text="待核验"/>
    <x:cfRule type="containsText" dxfId="2" priority="3" operator="containsText" text="淘汰"/>
  </x:conditionalFormatting>
  <x:dataValidations count="7">
    <x:dataValidation type="list" sqref="A4:A23">
      <x:formula1>"严格,待核验,淘汰"</x:formula1>
    </x:dataValidation>
    <x:dataValidation type="list" sqref="I4:I23">
      <x:formula1>"通过,失败,待核验"</x:formula1>
    </x:dataValidation>
    <x:dataValidation type="list" sqref="J4:J23">
      <x:formula1>"通过,失败,待核验"</x:formula1>
    </x:dataValidation>
    <x:dataValidation type="list" sqref="K4:K23">
      <x:formula1>"通过,失败,待核验"</x:formula1>
    </x:dataValidation>
    <x:dataValidation type="list" sqref="L4:L23">
      <x:formula1>"通过,失败,待核验"</x:formula1>
    </x:dataValidation>
    <x:dataValidation type="list" sqref="M4:M23">
      <x:formula1>"通过,失败,待核验"</x:formula1>
    </x:dataValidation>
    <x:dataValidation type="list" sqref="AF4:AF23">
      <x:formula1>"高,中,低,缺失"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f2e52133ea4f6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6" hidden="0" customWidth="1"/>
    <x:col min="14" max="14" width="26" hidden="0" customWidth="1"/>
    <x:col min="15" max="15" width="12" hidden="0" customWidth="1"/>
    <x:col min="16" max="16" width="12" hidden="0" customWidth="1"/>
    <x:col min="17" max="17" width="9" hidden="0" customWidth="1"/>
    <x:col min="18" max="18" width="14" hidden="0" customWidth="1"/>
    <x:col min="19" max="19" width="10" hidden="0" customWidth="1"/>
    <x:col min="20" max="20" width="20" hidden="0" customWidth="1"/>
    <x:col min="21" max="21" width="16" hidden="0" customWidth="1"/>
    <x:col min="22" max="22" width="22" hidden="0" customWidth="1"/>
    <x:col min="23" max="23" width="22" hidden="0" customWidth="1"/>
    <x:col min="24" max="24" width="14" hidden="0" customWidth="1"/>
    <x:col min="25" max="25" width="14" hidden="0" customWidth="1"/>
    <x:col min="26" max="26" width="10" hidden="0" customWidth="1"/>
    <x:col min="27" max="27" width="14" hidden="0" customWidth="1"/>
    <x:col min="28" max="28" width="10" hidden="0" customWidth="1"/>
    <x:col min="29" max="29" width="14" hidden="0" customWidth="1"/>
    <x:col min="30" max="30" width="10" hidden="0" customWidth="1"/>
    <x:col min="31" max="31" width="14" hidden="0" customWidth="1"/>
    <x:col min="32" max="32" width="10" hidden="0" customWidth="1"/>
    <x:col min="33" max="33" width="14" hidden="0" customWidth="1"/>
    <x:col min="34" max="34" width="10" hidden="0" customWidth="1"/>
    <x:col min="35" max="35" width="13" hidden="0" customWidth="1"/>
    <x:col min="36" max="36" width="14" hidden="0" customWidth="1"/>
    <x:col min="37" max="37" width="22" hidden="0" customWidth="1"/>
    <x:col min="38" max="38" width="18" hidden="0" customWidth="1"/>
    <x:col min="39" max="39" width="18" hidden="0" customWidth="1"/>
    <x:col min="40" max="40" width="10" hidden="0" customWidth="1"/>
    <x:col min="41" max="41" width="24" hidden="0" customWidth="1"/>
    <x:col min="42" max="42" width="18" hidden="0" customWidth="1"/>
  </x:cols>
  <x:sheetData>
    <x:row r="1" ht="30" customHeight="1">
      <x:c r="A1" s="3" t="str">
        <x:v>1688 候选</x:v>
      </x:c>
      <x:c r="B1" s="3" t="str">
        <x:v>1688 候选</x:v>
      </x:c>
      <x:c r="C1" s="3" t="str">
        <x:v>1688 候选</x:v>
      </x:c>
      <x:c r="D1" s="3" t="str">
        <x:v>1688 候选</x:v>
      </x:c>
      <x:c r="E1" s="3" t="str">
        <x:v>1688 候选</x:v>
      </x:c>
      <x:c r="F1" s="3" t="str">
        <x:v>1688 候选</x:v>
      </x:c>
      <x:c r="G1" s="3" t="str">
        <x:v>1688 候选</x:v>
      </x:c>
      <x:c r="H1" s="3" t="str">
        <x:v>1688 候选</x:v>
      </x:c>
      <x:c r="I1" s="3" t="str">
        <x:v>1688 候选</x:v>
      </x:c>
      <x:c r="J1" s="3" t="str">
        <x:v>1688 候选</x:v>
      </x:c>
      <x:c r="K1" s="3" t="str">
        <x:v>1688 候选</x:v>
      </x:c>
      <x:c r="L1" s="3" t="str">
        <x:v>1688 候选</x:v>
      </x:c>
      <x:c r="M1" s="3" t="str">
        <x:v>1688 候选</x:v>
      </x:c>
      <x:c r="N1" s="3" t="str">
        <x:v>1688 候选</x:v>
      </x:c>
      <x:c r="O1" s="3" t="str">
        <x:v>1688 候选</x:v>
      </x:c>
      <x:c r="P1" s="3" t="str">
        <x:v>1688 候选</x:v>
      </x:c>
      <x:c r="Q1" s="3" t="str">
        <x:v>1688 候选</x:v>
      </x:c>
      <x:c r="R1" s="3" t="str">
        <x:v>1688 候选</x:v>
      </x:c>
      <x:c r="S1" s="3" t="str">
        <x:v>1688 候选</x:v>
      </x:c>
      <x:c r="T1" s="3" t="str">
        <x:v>1688 候选</x:v>
      </x:c>
      <x:c r="U1" s="3" t="str">
        <x:v>1688 候选</x:v>
      </x:c>
      <x:c r="V1" s="3" t="str">
        <x:v>1688 候选</x:v>
      </x:c>
      <x:c r="W1" s="3" t="str">
        <x:v>1688 候选</x:v>
      </x:c>
      <x:c r="X1" s="3" t="str">
        <x:v>1688 候选</x:v>
      </x:c>
      <x:c r="Y1" s="3" t="str">
        <x:v>1688 候选</x:v>
      </x:c>
      <x:c r="Z1" s="3" t="str">
        <x:v>1688 候选</x:v>
      </x:c>
      <x:c r="AA1" s="3" t="str">
        <x:v>1688 候选</x:v>
      </x:c>
      <x:c r="AB1" s="3" t="str">
        <x:v>1688 候选</x:v>
      </x:c>
      <x:c r="AC1" s="3" t="str">
        <x:v>1688 候选</x:v>
      </x:c>
      <x:c r="AD1" s="3" t="str">
        <x:v>1688 候选</x:v>
      </x:c>
      <x:c r="AE1" s="3" t="str">
        <x:v>1688 候选</x:v>
      </x:c>
      <x:c r="AF1" s="3" t="str">
        <x:v>1688 候选</x:v>
      </x:c>
      <x:c r="AG1" s="3" t="str">
        <x:v>1688 候选</x:v>
      </x:c>
      <x:c r="AH1" s="3" t="str">
        <x:v>1688 候选</x:v>
      </x:c>
      <x:c r="AI1" s="3" t="str">
        <x:v>1688 候选</x:v>
      </x:c>
      <x:c r="AJ1" s="3" t="str">
        <x:v>1688 候选</x:v>
      </x:c>
      <x:c r="AK1" s="3" t="str">
        <x:v>1688 候选</x:v>
      </x:c>
      <x:c r="AL1" s="3" t="str">
        <x:v>1688 候选</x:v>
      </x:c>
      <x:c r="AM1" s="3" t="str">
        <x:v>1688 候选</x:v>
      </x:c>
      <x:c r="AN1" s="3" t="str">
        <x:v>1688 候选</x:v>
      </x:c>
      <x:c r="AO1" s="3" t="str">
        <x:v>1688 候选</x:v>
      </x:c>
      <x:c r="AP1" s="3" t="str">
        <x:v>1688 候选</x:v>
      </x:c>
    </x:row>
    <x:row r="2" ht="34" customHeight="1">
      <x:c r="A2" s="7" t="str">
        <x:v>关键词、图片、相似款和同店路径应按任务范围记录；店铺名等缺失字段必须留空，不得用编号代替。严格行才评分。</x:v>
      </x:c>
      <x:c r="B2" s="7" t="str">
        <x:v>关键词、图片、相似款和同店路径应按任务范围记录；店铺名等缺失字段必须留空，不得用编号代替。严格行才评分。</x:v>
      </x:c>
      <x:c r="C2" s="7" t="str">
        <x:v>关键词、图片、相似款和同店路径应按任务范围记录；店铺名等缺失字段必须留空，不得用编号代替。严格行才评分。</x:v>
      </x:c>
      <x:c r="D2" s="7" t="str">
        <x:v>关键词、图片、相似款和同店路径应按任务范围记录；店铺名等缺失字段必须留空，不得用编号代替。严格行才评分。</x:v>
      </x:c>
      <x:c r="E2" s="7" t="str">
        <x:v>关键词、图片、相似款和同店路径应按任务范围记录；店铺名等缺失字段必须留空，不得用编号代替。严格行才评分。</x:v>
      </x:c>
      <x:c r="F2" s="7" t="str">
        <x:v>关键词、图片、相似款和同店路径应按任务范围记录；店铺名等缺失字段必须留空，不得用编号代替。严格行才评分。</x:v>
      </x:c>
      <x:c r="G2" s="7" t="str">
        <x:v>关键词、图片、相似款和同店路径应按任务范围记录；店铺名等缺失字段必须留空，不得用编号代替。严格行才评分。</x:v>
      </x:c>
      <x:c r="H2" s="7" t="str">
        <x:v>关键词、图片、相似款和同店路径应按任务范围记录；店铺名等缺失字段必须留空，不得用编号代替。严格行才评分。</x:v>
      </x:c>
      <x:c r="I2" s="7" t="str">
        <x:v>关键词、图片、相似款和同店路径应按任务范围记录；店铺名等缺失字段必须留空，不得用编号代替。严格行才评分。</x:v>
      </x:c>
      <x:c r="J2" s="7" t="str">
        <x:v>关键词、图片、相似款和同店路径应按任务范围记录；店铺名等缺失字段必须留空，不得用编号代替。严格行才评分。</x:v>
      </x:c>
      <x:c r="K2" s="7" t="str">
        <x:v>关键词、图片、相似款和同店路径应按任务范围记录；店铺名等缺失字段必须留空，不得用编号代替。严格行才评分。</x:v>
      </x:c>
      <x:c r="L2" s="7" t="str">
        <x:v>关键词、图片、相似款和同店路径应按任务范围记录；店铺名等缺失字段必须留空，不得用编号代替。严格行才评分。</x:v>
      </x:c>
      <x:c r="M2" s="7" t="str">
        <x:v>关键词、图片、相似款和同店路径应按任务范围记录；店铺名等缺失字段必须留空，不得用编号代替。严格行才评分。</x:v>
      </x:c>
      <x:c r="N2" s="7" t="str">
        <x:v>关键词、图片、相似款和同店路径应按任务范围记录；店铺名等缺失字段必须留空，不得用编号代替。严格行才评分。</x:v>
      </x:c>
      <x:c r="O2" s="7" t="str">
        <x:v>关键词、图片、相似款和同店路径应按任务范围记录；店铺名等缺失字段必须留空，不得用编号代替。严格行才评分。</x:v>
      </x:c>
      <x:c r="P2" s="7" t="str">
        <x:v>关键词、图片、相似款和同店路径应按任务范围记录；店铺名等缺失字段必须留空，不得用编号代替。严格行才评分。</x:v>
      </x:c>
      <x:c r="Q2" s="7" t="str">
        <x:v>关键词、图片、相似款和同店路径应按任务范围记录；店铺名等缺失字段必须留空，不得用编号代替。严格行才评分。</x:v>
      </x:c>
      <x:c r="R2" s="7" t="str">
        <x:v>关键词、图片、相似款和同店路径应按任务范围记录；店铺名等缺失字段必须留空，不得用编号代替。严格行才评分。</x:v>
      </x:c>
      <x:c r="S2" s="7" t="str">
        <x:v>关键词、图片、相似款和同店路径应按任务范围记录；店铺名等缺失字段必须留空，不得用编号代替。严格行才评分。</x:v>
      </x:c>
      <x:c r="T2" s="7" t="str">
        <x:v>关键词、图片、相似款和同店路径应按任务范围记录；店铺名等缺失字段必须留空，不得用编号代替。严格行才评分。</x:v>
      </x:c>
      <x:c r="U2" s="7" t="str">
        <x:v>关键词、图片、相似款和同店路径应按任务范围记录；店铺名等缺失字段必须留空，不得用编号代替。严格行才评分。</x:v>
      </x:c>
      <x:c r="V2" s="7" t="str">
        <x:v>关键词、图片、相似款和同店路径应按任务范围记录；店铺名等缺失字段必须留空，不得用编号代替。严格行才评分。</x:v>
      </x:c>
      <x:c r="W2" s="7" t="str">
        <x:v>关键词、图片、相似款和同店路径应按任务范围记录；店铺名等缺失字段必须留空，不得用编号代替。严格行才评分。</x:v>
      </x:c>
      <x:c r="X2" s="7" t="str">
        <x:v>关键词、图片、相似款和同店路径应按任务范围记录；店铺名等缺失字段必须留空，不得用编号代替。严格行才评分。</x:v>
      </x:c>
      <x:c r="Y2" s="7" t="str">
        <x:v>关键词、图片、相似款和同店路径应按任务范围记录；店铺名等缺失字段必须留空，不得用编号代替。严格行才评分。</x:v>
      </x:c>
      <x:c r="Z2" s="7" t="str">
        <x:v>关键词、图片、相似款和同店路径应按任务范围记录；店铺名等缺失字段必须留空，不得用编号代替。严格行才评分。</x:v>
      </x:c>
      <x:c r="AA2" s="7" t="str">
        <x:v>关键词、图片、相似款和同店路径应按任务范围记录；店铺名等缺失字段必须留空，不得用编号代替。严格行才评分。</x:v>
      </x:c>
      <x:c r="AB2" s="7" t="str">
        <x:v>关键词、图片、相似款和同店路径应按任务范围记录；店铺名等缺失字段必须留空，不得用编号代替。严格行才评分。</x:v>
      </x:c>
      <x:c r="AC2" s="7" t="str">
        <x:v>关键词、图片、相似款和同店路径应按任务范围记录；店铺名等缺失字段必须留空，不得用编号代替。严格行才评分。</x:v>
      </x:c>
      <x:c r="AD2" s="7" t="str">
        <x:v>关键词、图片、相似款和同店路径应按任务范围记录；店铺名等缺失字段必须留空，不得用编号代替。严格行才评分。</x:v>
      </x:c>
      <x:c r="AE2" s="7" t="str">
        <x:v>关键词、图片、相似款和同店路径应按任务范围记录；店铺名等缺失字段必须留空，不得用编号代替。严格行才评分。</x:v>
      </x:c>
      <x:c r="AF2" s="7" t="str">
        <x:v>关键词、图片、相似款和同店路径应按任务范围记录；店铺名等缺失字段必须留空，不得用编号代替。严格行才评分。</x:v>
      </x:c>
      <x:c r="AG2" s="7" t="str">
        <x:v>关键词、图片、相似款和同店路径应按任务范围记录；店铺名等缺失字段必须留空，不得用编号代替。严格行才评分。</x:v>
      </x:c>
      <x:c r="AH2" s="7" t="str">
        <x:v>关键词、图片、相似款和同店路径应按任务范围记录；店铺名等缺失字段必须留空，不得用编号代替。严格行才评分。</x:v>
      </x:c>
      <x:c r="AI2" s="7" t="str">
        <x:v>关键词、图片、相似款和同店路径应按任务范围记录；店铺名等缺失字段必须留空，不得用编号代替。严格行才评分。</x:v>
      </x:c>
      <x:c r="AJ2" s="7" t="str">
        <x:v>关键词、图片、相似款和同店路径应按任务范围记录；店铺名等缺失字段必须留空，不得用编号代替。严格行才评分。</x:v>
      </x:c>
      <x:c r="AK2" s="7" t="str">
        <x:v>关键词、图片、相似款和同店路径应按任务范围记录；店铺名等缺失字段必须留空，不得用编号代替。严格行才评分。</x:v>
      </x:c>
      <x:c r="AL2" s="7" t="str">
        <x:v>关键词、图片、相似款和同店路径应按任务范围记录；店铺名等缺失字段必须留空，不得用编号代替。严格行才评分。</x:v>
      </x:c>
      <x:c r="AM2" s="7" t="str">
        <x:v>关键词、图片、相似款和同店路径应按任务范围记录；店铺名等缺失字段必须留空，不得用编号代替。严格行才评分。</x:v>
      </x:c>
      <x:c r="AN2" s="7" t="str">
        <x:v>关键词、图片、相似款和同店路径应按任务范围记录；店铺名等缺失字段必须留空，不得用编号代替。严格行才评分。</x:v>
      </x:c>
      <x:c r="AO2" s="7" t="str">
        <x:v>关键词、图片、相似款和同店路径应按任务范围记录；店铺名等缺失字段必须留空，不得用编号代替。严格行才评分。</x:v>
      </x:c>
      <x:c r="AP2" s="7" t="str">
        <x:v>关键词、图片、相似款和同店路径应按任务范围记录；店铺名等缺失字段必须留空，不得用编号代替。严格行才评分。</x:v>
      </x:c>
    </x:row>
    <x:row r="3" ht="42" customHeight="1">
      <x:c r="A3" s="27" t="str">
        <x:v>状态</x:v>
      </x:c>
      <x:c r="B3" s="28" t="str">
        <x:v>排名</x:v>
      </x:c>
      <x:c r="C3" s="28" t="str">
        <x:v>1688商品ID</x:v>
      </x:c>
      <x:c r="D3" s="28" t="str">
        <x:v>标题</x:v>
      </x:c>
      <x:c r="E3" s="28" t="str">
        <x:v>商品链接</x:v>
      </x:c>
      <x:c r="F3" s="28" t="str">
        <x:v>主图链接</x:v>
      </x:c>
      <x:c r="G3" s="28" t="str">
        <x:v>SKU/规格</x:v>
      </x:c>
      <x:c r="H3" s="28" t="str">
        <x:v>产品本体门槛</x:v>
      </x:c>
      <x:c r="I3" s="28" t="str">
        <x:v>材质门槛</x:v>
      </x:c>
      <x:c r="J3" s="28" t="str">
        <x:v>规格门槛</x:v>
      </x:c>
      <x:c r="K3" s="28" t="str">
        <x:v>供应门槛</x:v>
      </x:c>
      <x:c r="L3" s="28" t="str">
        <x:v>图片核验</x:v>
      </x:c>
      <x:c r="M3" s="28" t="str">
        <x:v>证据一致性门槛</x:v>
      </x:c>
      <x:c r="N3" s="28" t="str">
        <x:v>门槛原因</x:v>
      </x:c>
      <x:c r="O3" s="28" t="str">
        <x:v>单价下限</x:v>
      </x:c>
      <x:c r="P3" s="28" t="str">
        <x:v>单价上限</x:v>
      </x:c>
      <x:c r="Q3" s="28" t="str">
        <x:v>币种</x:v>
      </x:c>
      <x:c r="R3" s="28" t="str">
        <x:v>数量档位</x:v>
      </x:c>
      <x:c r="S3" s="28" t="str">
        <x:v>MOQ</x:v>
      </x:c>
      <x:c r="T3" s="28" t="str">
        <x:v>店铺名称</x:v>
      </x:c>
      <x:c r="U3" s="28" t="str">
        <x:v>供应商ID</x:v>
      </x:c>
      <x:c r="V3" s="28" t="str">
        <x:v>供应商链接</x:v>
      </x:c>
      <x:c r="W3" s="28" t="str">
        <x:v>定制证据</x:v>
      </x:c>
      <x:c r="X3" s="28" t="str">
        <x:v>交期</x:v>
      </x:c>
      <x:c r="Y3" s="28" t="str">
        <x:v>指标1原始</x:v>
      </x:c>
      <x:c r="Z3" s="28" t="str">
        <x:v>指标1分</x:v>
      </x:c>
      <x:c r="AA3" s="28" t="str">
        <x:v>指标2原始</x:v>
      </x:c>
      <x:c r="AB3" s="28" t="str">
        <x:v>指标2分</x:v>
      </x:c>
      <x:c r="AC3" s="28" t="str">
        <x:v>指标3原始</x:v>
      </x:c>
      <x:c r="AD3" s="28" t="str">
        <x:v>指标3分</x:v>
      </x:c>
      <x:c r="AE3" s="28" t="str">
        <x:v>指标4原始</x:v>
      </x:c>
      <x:c r="AF3" s="28" t="str">
        <x:v>指标4分</x:v>
      </x:c>
      <x:c r="AG3" s="28" t="str">
        <x:v>指标5原始</x:v>
      </x:c>
      <x:c r="AH3" s="28" t="str">
        <x:v>指标5分</x:v>
      </x:c>
      <x:c r="AI3" s="28" t="str">
        <x:v>供应能力分</x:v>
      </x:c>
      <x:c r="AJ3" s="28" t="str">
        <x:v>来源类型</x:v>
      </x:c>
      <x:c r="AK3" s="28" t="str">
        <x:v>证据链接</x:v>
      </x:c>
      <x:c r="AL3" s="28" t="str">
        <x:v>检索路径</x:v>
      </x:c>
      <x:c r="AM3" s="28" t="str">
        <x:v>抓取时间</x:v>
      </x:c>
      <x:c r="AN3" s="28" t="str">
        <x:v>置信度</x:v>
      </x:c>
      <x:c r="AO3" s="28" t="str">
        <x:v>冲突说明</x:v>
      </x:c>
      <x:c r="AP3" s="29" t="str">
        <x:v>决策日志引用</x:v>
      </x:c>
    </x:row>
    <x:row r="4" ht="30" customHeight="1">
      <x:c r="A4" s="34"/>
      <x:c r="B4" s="35" t="str">
        <x:f>IF(AND($A4="严格",ISNUMBER($AI4)),RANK.EQ($AI4,$AI$4:$AI$23,0),"")</x:f>
      </x:c>
      <x:c r="C4" s="40"/>
      <x:c r="D4" s="34"/>
      <x:c r="E4" s="34"/>
      <x:c r="F4" s="34"/>
      <x:c r="G4" s="40"/>
      <x:c r="H4" s="34"/>
      <x:c r="I4" s="34"/>
      <x:c r="J4" s="34"/>
      <x:c r="K4" s="34"/>
      <x:c r="L4" s="34"/>
      <x:c r="M4" s="34"/>
      <x:c r="N4" s="34"/>
      <x:c r="O4" s="43"/>
      <x:c r="P4" s="43"/>
      <x:c r="Q4" s="34"/>
      <x:c r="R4" s="34"/>
      <x:c r="S4" s="49"/>
      <x:c r="T4" s="34"/>
      <x:c r="U4" s="40"/>
      <x:c r="V4" s="34"/>
      <x:c r="W4" s="34"/>
      <x:c r="X4" s="34"/>
      <x:c r="Y4" s="34"/>
      <x:c r="Z4" s="46"/>
      <x:c r="AA4" s="46"/>
      <x:c r="AB4" s="46"/>
      <x:c r="AC4" s="46"/>
      <x:c r="AD4" s="46"/>
      <x:c r="AE4" s="46"/>
      <x:c r="AF4" s="46"/>
      <x:c r="AG4" s="46"/>
      <x:c r="AH4" s="46"/>
      <x:c r="AI4" s="52" t="str">
        <x:f>IF(AND($A4="严格",COUNT($Z4,$AB4,$AD4,$AF4,$AH4)=5,SUM('任务说明'!$O$9:$O$13)=100),($Z4*'任务说明'!$O$9+$AB4*'任务说明'!$O$10+$AD4*'任务说明'!$O$11+$AF4*'任务说明'!$O$12+$AH4*'任务说明'!$O$13)/100,"")</x:f>
      </x:c>
      <x:c r="AJ4" s="34"/>
      <x:c r="AK4" s="34"/>
      <x:c r="AL4" s="34"/>
      <x:c r="AM4" s="55"/>
      <x:c r="AN4" s="34"/>
      <x:c r="AO4" s="34"/>
      <x:c r="AP4" s="34"/>
    </x:row>
    <x:row r="5" ht="30" customHeight="1">
      <x:c r="A5" s="36"/>
      <x:c r="B5" s="37" t="str">
        <x:f>IF(AND($A5="严格",ISNUMBER($AI5)),RANK.EQ($AI5,$AI$4:$AI$23,0),"")</x:f>
      </x:c>
      <x:c r="C5" s="41"/>
      <x:c r="D5" s="36"/>
      <x:c r="E5" s="36"/>
      <x:c r="F5" s="36"/>
      <x:c r="G5" s="41"/>
      <x:c r="H5" s="36"/>
      <x:c r="I5" s="36"/>
      <x:c r="J5" s="36"/>
      <x:c r="K5" s="36"/>
      <x:c r="L5" s="36"/>
      <x:c r="M5" s="36"/>
      <x:c r="N5" s="36"/>
      <x:c r="O5" s="44"/>
      <x:c r="P5" s="44"/>
      <x:c r="Q5" s="36"/>
      <x:c r="R5" s="36"/>
      <x:c r="S5" s="50"/>
      <x:c r="T5" s="36"/>
      <x:c r="U5" s="41"/>
      <x:c r="V5" s="36"/>
      <x:c r="W5" s="36"/>
      <x:c r="X5" s="36"/>
      <x:c r="Y5" s="36"/>
      <x:c r="Z5" s="47"/>
      <x:c r="AA5" s="47"/>
      <x:c r="AB5" s="47"/>
      <x:c r="AC5" s="47"/>
      <x:c r="AD5" s="47"/>
      <x:c r="AE5" s="47"/>
      <x:c r="AF5" s="47"/>
      <x:c r="AG5" s="47"/>
      <x:c r="AH5" s="47"/>
      <x:c r="AI5" s="53" t="str">
        <x:f>IF(AND($A5="严格",COUNT($Z5,$AB5,$AD5,$AF5,$AH5)=5,SUM('任务说明'!$O$9:$O$13)=100),($Z5*'任务说明'!$O$9+$AB5*'任务说明'!$O$10+$AD5*'任务说明'!$O$11+$AF5*'任务说明'!$O$12+$AH5*'任务说明'!$O$13)/100,"")</x:f>
      </x:c>
      <x:c r="AJ5" s="36"/>
      <x:c r="AK5" s="36"/>
      <x:c r="AL5" s="36"/>
      <x:c r="AM5" s="56"/>
      <x:c r="AN5" s="36"/>
      <x:c r="AO5" s="36"/>
      <x:c r="AP5" s="36"/>
    </x:row>
    <x:row r="6" ht="30" customHeight="1">
      <x:c r="A6" s="36"/>
      <x:c r="B6" s="37" t="str">
        <x:f>IF(AND($A6="严格",ISNUMBER($AI6)),RANK.EQ($AI6,$AI$4:$AI$23,0),"")</x:f>
      </x:c>
      <x:c r="C6" s="41"/>
      <x:c r="D6" s="36"/>
      <x:c r="E6" s="36"/>
      <x:c r="F6" s="36"/>
      <x:c r="G6" s="41"/>
      <x:c r="H6" s="36"/>
      <x:c r="I6" s="36"/>
      <x:c r="J6" s="36"/>
      <x:c r="K6" s="36"/>
      <x:c r="L6" s="36"/>
      <x:c r="M6" s="36"/>
      <x:c r="N6" s="36"/>
      <x:c r="O6" s="44"/>
      <x:c r="P6" s="44"/>
      <x:c r="Q6" s="36"/>
      <x:c r="R6" s="36"/>
      <x:c r="S6" s="50"/>
      <x:c r="T6" s="36"/>
      <x:c r="U6" s="41"/>
      <x:c r="V6" s="36"/>
      <x:c r="W6" s="36"/>
      <x:c r="X6" s="36"/>
      <x:c r="Y6" s="36"/>
      <x:c r="Z6" s="47"/>
      <x:c r="AA6" s="47"/>
      <x:c r="AB6" s="47"/>
      <x:c r="AC6" s="47"/>
      <x:c r="AD6" s="47"/>
      <x:c r="AE6" s="47"/>
      <x:c r="AF6" s="47"/>
      <x:c r="AG6" s="47"/>
      <x:c r="AH6" s="47"/>
      <x:c r="AI6" s="53" t="str">
        <x:f>IF(AND($A6="严格",COUNT($Z6,$AB6,$AD6,$AF6,$AH6)=5,SUM('任务说明'!$O$9:$O$13)=100),($Z6*'任务说明'!$O$9+$AB6*'任务说明'!$O$10+$AD6*'任务说明'!$O$11+$AF6*'任务说明'!$O$12+$AH6*'任务说明'!$O$13)/100,"")</x:f>
      </x:c>
      <x:c r="AJ6" s="36"/>
      <x:c r="AK6" s="36"/>
      <x:c r="AL6" s="36"/>
      <x:c r="AM6" s="56"/>
      <x:c r="AN6" s="36"/>
      <x:c r="AO6" s="36"/>
      <x:c r="AP6" s="36"/>
    </x:row>
    <x:row r="7" ht="30" customHeight="1">
      <x:c r="A7" s="36"/>
      <x:c r="B7" s="37" t="str">
        <x:f>IF(AND($A7="严格",ISNUMBER($AI7)),RANK.EQ($AI7,$AI$4:$AI$23,0),"")</x:f>
      </x:c>
      <x:c r="C7" s="41"/>
      <x:c r="D7" s="36"/>
      <x:c r="E7" s="36"/>
      <x:c r="F7" s="36"/>
      <x:c r="G7" s="41"/>
      <x:c r="H7" s="36"/>
      <x:c r="I7" s="36"/>
      <x:c r="J7" s="36"/>
      <x:c r="K7" s="36"/>
      <x:c r="L7" s="36"/>
      <x:c r="M7" s="36"/>
      <x:c r="N7" s="36"/>
      <x:c r="O7" s="44"/>
      <x:c r="P7" s="44"/>
      <x:c r="Q7" s="36"/>
      <x:c r="R7" s="36"/>
      <x:c r="S7" s="50"/>
      <x:c r="T7" s="36"/>
      <x:c r="U7" s="41"/>
      <x:c r="V7" s="36"/>
      <x:c r="W7" s="36"/>
      <x:c r="X7" s="36"/>
      <x:c r="Y7" s="36"/>
      <x:c r="Z7" s="47"/>
      <x:c r="AA7" s="47"/>
      <x:c r="AB7" s="47"/>
      <x:c r="AC7" s="47"/>
      <x:c r="AD7" s="47"/>
      <x:c r="AE7" s="47"/>
      <x:c r="AF7" s="47"/>
      <x:c r="AG7" s="47"/>
      <x:c r="AH7" s="47"/>
      <x:c r="AI7" s="53" t="str">
        <x:f>IF(AND($A7="严格",COUNT($Z7,$AB7,$AD7,$AF7,$AH7)=5,SUM('任务说明'!$O$9:$O$13)=100),($Z7*'任务说明'!$O$9+$AB7*'任务说明'!$O$10+$AD7*'任务说明'!$O$11+$AF7*'任务说明'!$O$12+$AH7*'任务说明'!$O$13)/100,"")</x:f>
      </x:c>
      <x:c r="AJ7" s="36"/>
      <x:c r="AK7" s="36"/>
      <x:c r="AL7" s="36"/>
      <x:c r="AM7" s="56"/>
      <x:c r="AN7" s="36"/>
      <x:c r="AO7" s="36"/>
      <x:c r="AP7" s="36"/>
    </x:row>
    <x:row r="8" ht="30" customHeight="1">
      <x:c r="A8" s="36"/>
      <x:c r="B8" s="37" t="str">
        <x:f>IF(AND($A8="严格",ISNUMBER($AI8)),RANK.EQ($AI8,$AI$4:$AI$23,0),"")</x:f>
      </x:c>
      <x:c r="C8" s="41"/>
      <x:c r="D8" s="36"/>
      <x:c r="E8" s="36"/>
      <x:c r="F8" s="36"/>
      <x:c r="G8" s="41"/>
      <x:c r="H8" s="36"/>
      <x:c r="I8" s="36"/>
      <x:c r="J8" s="36"/>
      <x:c r="K8" s="36"/>
      <x:c r="L8" s="36"/>
      <x:c r="M8" s="36"/>
      <x:c r="N8" s="36"/>
      <x:c r="O8" s="44"/>
      <x:c r="P8" s="44"/>
      <x:c r="Q8" s="36"/>
      <x:c r="R8" s="36"/>
      <x:c r="S8" s="50"/>
      <x:c r="T8" s="36"/>
      <x:c r="U8" s="41"/>
      <x:c r="V8" s="36"/>
      <x:c r="W8" s="36"/>
      <x:c r="X8" s="36"/>
      <x:c r="Y8" s="36"/>
      <x:c r="Z8" s="47"/>
      <x:c r="AA8" s="47"/>
      <x:c r="AB8" s="47"/>
      <x:c r="AC8" s="47"/>
      <x:c r="AD8" s="47"/>
      <x:c r="AE8" s="47"/>
      <x:c r="AF8" s="47"/>
      <x:c r="AG8" s="47"/>
      <x:c r="AH8" s="47"/>
      <x:c r="AI8" s="53" t="str">
        <x:f>IF(AND($A8="严格",COUNT($Z8,$AB8,$AD8,$AF8,$AH8)=5,SUM('任务说明'!$O$9:$O$13)=100),($Z8*'任务说明'!$O$9+$AB8*'任务说明'!$O$10+$AD8*'任务说明'!$O$11+$AF8*'任务说明'!$O$12+$AH8*'任务说明'!$O$13)/100,"")</x:f>
      </x:c>
      <x:c r="AJ8" s="36"/>
      <x:c r="AK8" s="36"/>
      <x:c r="AL8" s="36"/>
      <x:c r="AM8" s="56"/>
      <x:c r="AN8" s="36"/>
      <x:c r="AO8" s="36"/>
      <x:c r="AP8" s="36"/>
    </x:row>
    <x:row r="9" ht="30" customHeight="1">
      <x:c r="A9" s="36"/>
      <x:c r="B9" s="37" t="str">
        <x:f>IF(AND($A9="严格",ISNUMBER($AI9)),RANK.EQ($AI9,$AI$4:$AI$23,0),"")</x:f>
      </x:c>
      <x:c r="C9" s="41"/>
      <x:c r="D9" s="36"/>
      <x:c r="E9" s="36"/>
      <x:c r="F9" s="36"/>
      <x:c r="G9" s="41"/>
      <x:c r="H9" s="36"/>
      <x:c r="I9" s="36"/>
      <x:c r="J9" s="36"/>
      <x:c r="K9" s="36"/>
      <x:c r="L9" s="36"/>
      <x:c r="M9" s="36"/>
      <x:c r="N9" s="36"/>
      <x:c r="O9" s="44"/>
      <x:c r="P9" s="44"/>
      <x:c r="Q9" s="36"/>
      <x:c r="R9" s="36"/>
      <x:c r="S9" s="50"/>
      <x:c r="T9" s="36"/>
      <x:c r="U9" s="41"/>
      <x:c r="V9" s="36"/>
      <x:c r="W9" s="36"/>
      <x:c r="X9" s="36"/>
      <x:c r="Y9" s="36"/>
      <x:c r="Z9" s="47"/>
      <x:c r="AA9" s="47"/>
      <x:c r="AB9" s="47"/>
      <x:c r="AC9" s="47"/>
      <x:c r="AD9" s="47"/>
      <x:c r="AE9" s="47"/>
      <x:c r="AF9" s="47"/>
      <x:c r="AG9" s="47"/>
      <x:c r="AH9" s="47"/>
      <x:c r="AI9" s="53" t="str">
        <x:f>IF(AND($A9="严格",COUNT($Z9,$AB9,$AD9,$AF9,$AH9)=5,SUM('任务说明'!$O$9:$O$13)=100),($Z9*'任务说明'!$O$9+$AB9*'任务说明'!$O$10+$AD9*'任务说明'!$O$11+$AF9*'任务说明'!$O$12+$AH9*'任务说明'!$O$13)/100,"")</x:f>
      </x:c>
      <x:c r="AJ9" s="36"/>
      <x:c r="AK9" s="36"/>
      <x:c r="AL9" s="36"/>
      <x:c r="AM9" s="56"/>
      <x:c r="AN9" s="36"/>
      <x:c r="AO9" s="36"/>
      <x:c r="AP9" s="36"/>
    </x:row>
    <x:row r="10" ht="30" customHeight="1">
      <x:c r="A10" s="36"/>
      <x:c r="B10" s="37" t="str">
        <x:f>IF(AND($A10="严格",ISNUMBER($AI10)),RANK.EQ($AI10,$AI$4:$AI$23,0),"")</x:f>
      </x:c>
      <x:c r="C10" s="41"/>
      <x:c r="D10" s="36"/>
      <x:c r="E10" s="36"/>
      <x:c r="F10" s="36"/>
      <x:c r="G10" s="41"/>
      <x:c r="H10" s="36"/>
      <x:c r="I10" s="36"/>
      <x:c r="J10" s="36"/>
      <x:c r="K10" s="36"/>
      <x:c r="L10" s="36"/>
      <x:c r="M10" s="36"/>
      <x:c r="N10" s="36"/>
      <x:c r="O10" s="44"/>
      <x:c r="P10" s="44"/>
      <x:c r="Q10" s="36"/>
      <x:c r="R10" s="36"/>
      <x:c r="S10" s="50"/>
      <x:c r="T10" s="36"/>
      <x:c r="U10" s="41"/>
      <x:c r="V10" s="36"/>
      <x:c r="W10" s="36"/>
      <x:c r="X10" s="36"/>
      <x:c r="Y10" s="36"/>
      <x:c r="Z10" s="47"/>
      <x:c r="AA10" s="47"/>
      <x:c r="AB10" s="47"/>
      <x:c r="AC10" s="47"/>
      <x:c r="AD10" s="47"/>
      <x:c r="AE10" s="47"/>
      <x:c r="AF10" s="47"/>
      <x:c r="AG10" s="47"/>
      <x:c r="AH10" s="47"/>
      <x:c r="AI10" s="53" t="str">
        <x:f>IF(AND($A10="严格",COUNT($Z10,$AB10,$AD10,$AF10,$AH10)=5,SUM('任务说明'!$O$9:$O$13)=100),($Z10*'任务说明'!$O$9+$AB10*'任务说明'!$O$10+$AD10*'任务说明'!$O$11+$AF10*'任务说明'!$O$12+$AH10*'任务说明'!$O$13)/100,"")</x:f>
      </x:c>
      <x:c r="AJ10" s="36"/>
      <x:c r="AK10" s="36"/>
      <x:c r="AL10" s="36"/>
      <x:c r="AM10" s="56"/>
      <x:c r="AN10" s="36"/>
      <x:c r="AO10" s="36"/>
      <x:c r="AP10" s="36"/>
    </x:row>
    <x:row r="11" ht="30" customHeight="1">
      <x:c r="A11" s="36"/>
      <x:c r="B11" s="37" t="str">
        <x:f>IF(AND($A11="严格",ISNUMBER($AI11)),RANK.EQ($AI11,$AI$4:$AI$23,0),"")</x:f>
      </x:c>
      <x:c r="C11" s="41"/>
      <x:c r="D11" s="36"/>
      <x:c r="E11" s="36"/>
      <x:c r="F11" s="36"/>
      <x:c r="G11" s="41"/>
      <x:c r="H11" s="36"/>
      <x:c r="I11" s="36"/>
      <x:c r="J11" s="36"/>
      <x:c r="K11" s="36"/>
      <x:c r="L11" s="36"/>
      <x:c r="M11" s="36"/>
      <x:c r="N11" s="36"/>
      <x:c r="O11" s="44"/>
      <x:c r="P11" s="44"/>
      <x:c r="Q11" s="36"/>
      <x:c r="R11" s="36"/>
      <x:c r="S11" s="50"/>
      <x:c r="T11" s="36"/>
      <x:c r="U11" s="41"/>
      <x:c r="V11" s="36"/>
      <x:c r="W11" s="36"/>
      <x:c r="X11" s="36"/>
      <x:c r="Y11" s="36"/>
      <x:c r="Z11" s="47"/>
      <x:c r="AA11" s="47"/>
      <x:c r="AB11" s="47"/>
      <x:c r="AC11" s="47"/>
      <x:c r="AD11" s="47"/>
      <x:c r="AE11" s="47"/>
      <x:c r="AF11" s="47"/>
      <x:c r="AG11" s="47"/>
      <x:c r="AH11" s="47"/>
      <x:c r="AI11" s="53" t="str">
        <x:f>IF(AND($A11="严格",COUNT($Z11,$AB11,$AD11,$AF11,$AH11)=5,SUM('任务说明'!$O$9:$O$13)=100),($Z11*'任务说明'!$O$9+$AB11*'任务说明'!$O$10+$AD11*'任务说明'!$O$11+$AF11*'任务说明'!$O$12+$AH11*'任务说明'!$O$13)/100,"")</x:f>
      </x:c>
      <x:c r="AJ11" s="36"/>
      <x:c r="AK11" s="36"/>
      <x:c r="AL11" s="36"/>
      <x:c r="AM11" s="56"/>
      <x:c r="AN11" s="36"/>
      <x:c r="AO11" s="36"/>
      <x:c r="AP11" s="36"/>
    </x:row>
    <x:row r="12" ht="30" customHeight="1">
      <x:c r="A12" s="36"/>
      <x:c r="B12" s="37" t="str">
        <x:f>IF(AND($A12="严格",ISNUMBER($AI12)),RANK.EQ($AI12,$AI$4:$AI$23,0),"")</x:f>
      </x:c>
      <x:c r="C12" s="41"/>
      <x:c r="D12" s="36"/>
      <x:c r="E12" s="36"/>
      <x:c r="F12" s="36"/>
      <x:c r="G12" s="41"/>
      <x:c r="H12" s="36"/>
      <x:c r="I12" s="36"/>
      <x:c r="J12" s="36"/>
      <x:c r="K12" s="36"/>
      <x:c r="L12" s="36"/>
      <x:c r="M12" s="36"/>
      <x:c r="N12" s="36"/>
      <x:c r="O12" s="44"/>
      <x:c r="P12" s="44"/>
      <x:c r="Q12" s="36"/>
      <x:c r="R12" s="36"/>
      <x:c r="S12" s="50"/>
      <x:c r="T12" s="36"/>
      <x:c r="U12" s="41"/>
      <x:c r="V12" s="36"/>
      <x:c r="W12" s="36"/>
      <x:c r="X12" s="36"/>
      <x:c r="Y12" s="36"/>
      <x:c r="Z12" s="47"/>
      <x:c r="AA12" s="47"/>
      <x:c r="AB12" s="47"/>
      <x:c r="AC12" s="47"/>
      <x:c r="AD12" s="47"/>
      <x:c r="AE12" s="47"/>
      <x:c r="AF12" s="47"/>
      <x:c r="AG12" s="47"/>
      <x:c r="AH12" s="47"/>
      <x:c r="AI12" s="53" t="str">
        <x:f>IF(AND($A12="严格",COUNT($Z12,$AB12,$AD12,$AF12,$AH12)=5,SUM('任务说明'!$O$9:$O$13)=100),($Z12*'任务说明'!$O$9+$AB12*'任务说明'!$O$10+$AD12*'任务说明'!$O$11+$AF12*'任务说明'!$O$12+$AH12*'任务说明'!$O$13)/100,"")</x:f>
      </x:c>
      <x:c r="AJ12" s="36"/>
      <x:c r="AK12" s="36"/>
      <x:c r="AL12" s="36"/>
      <x:c r="AM12" s="56"/>
      <x:c r="AN12" s="36"/>
      <x:c r="AO12" s="36"/>
      <x:c r="AP12" s="36"/>
    </x:row>
    <x:row r="13" ht="30" customHeight="1">
      <x:c r="A13" s="36"/>
      <x:c r="B13" s="37" t="str">
        <x:f>IF(AND($A13="严格",ISNUMBER($AI13)),RANK.EQ($AI13,$AI$4:$AI$23,0),"")</x:f>
      </x:c>
      <x:c r="C13" s="41"/>
      <x:c r="D13" s="36"/>
      <x:c r="E13" s="36"/>
      <x:c r="F13" s="36"/>
      <x:c r="G13" s="41"/>
      <x:c r="H13" s="36"/>
      <x:c r="I13" s="36"/>
      <x:c r="J13" s="36"/>
      <x:c r="K13" s="36"/>
      <x:c r="L13" s="36"/>
      <x:c r="M13" s="36"/>
      <x:c r="N13" s="36"/>
      <x:c r="O13" s="44"/>
      <x:c r="P13" s="44"/>
      <x:c r="Q13" s="36"/>
      <x:c r="R13" s="36"/>
      <x:c r="S13" s="50"/>
      <x:c r="T13" s="36"/>
      <x:c r="U13" s="41"/>
      <x:c r="V13" s="36"/>
      <x:c r="W13" s="36"/>
      <x:c r="X13" s="36"/>
      <x:c r="Y13" s="36"/>
      <x:c r="Z13" s="47"/>
      <x:c r="AA13" s="47"/>
      <x:c r="AB13" s="47"/>
      <x:c r="AC13" s="47"/>
      <x:c r="AD13" s="47"/>
      <x:c r="AE13" s="47"/>
      <x:c r="AF13" s="47"/>
      <x:c r="AG13" s="47"/>
      <x:c r="AH13" s="47"/>
      <x:c r="AI13" s="53" t="str">
        <x:f>IF(AND($A13="严格",COUNT($Z13,$AB13,$AD13,$AF13,$AH13)=5,SUM('任务说明'!$O$9:$O$13)=100),($Z13*'任务说明'!$O$9+$AB13*'任务说明'!$O$10+$AD13*'任务说明'!$O$11+$AF13*'任务说明'!$O$12+$AH13*'任务说明'!$O$13)/100,"")</x:f>
      </x:c>
      <x:c r="AJ13" s="36"/>
      <x:c r="AK13" s="36"/>
      <x:c r="AL13" s="36"/>
      <x:c r="AM13" s="56"/>
      <x:c r="AN13" s="36"/>
      <x:c r="AO13" s="36"/>
      <x:c r="AP13" s="36"/>
    </x:row>
    <x:row r="14" ht="30" customHeight="1">
      <x:c r="A14" s="36"/>
      <x:c r="B14" s="37" t="str">
        <x:f>IF(AND($A14="严格",ISNUMBER($AI14)),RANK.EQ($AI14,$AI$4:$AI$23,0),"")</x:f>
      </x:c>
      <x:c r="C14" s="41"/>
      <x:c r="D14" s="36"/>
      <x:c r="E14" s="36"/>
      <x:c r="F14" s="36"/>
      <x:c r="G14" s="41"/>
      <x:c r="H14" s="36"/>
      <x:c r="I14" s="36"/>
      <x:c r="J14" s="36"/>
      <x:c r="K14" s="36"/>
      <x:c r="L14" s="36"/>
      <x:c r="M14" s="36"/>
      <x:c r="N14" s="36"/>
      <x:c r="O14" s="44"/>
      <x:c r="P14" s="44"/>
      <x:c r="Q14" s="36"/>
      <x:c r="R14" s="36"/>
      <x:c r="S14" s="50"/>
      <x:c r="T14" s="36"/>
      <x:c r="U14" s="41"/>
      <x:c r="V14" s="36"/>
      <x:c r="W14" s="36"/>
      <x:c r="X14" s="36"/>
      <x:c r="Y14" s="36"/>
      <x:c r="Z14" s="47"/>
      <x:c r="AA14" s="47"/>
      <x:c r="AB14" s="47"/>
      <x:c r="AC14" s="47"/>
      <x:c r="AD14" s="47"/>
      <x:c r="AE14" s="47"/>
      <x:c r="AF14" s="47"/>
      <x:c r="AG14" s="47"/>
      <x:c r="AH14" s="47"/>
      <x:c r="AI14" s="53" t="str">
        <x:f>IF(AND($A14="严格",COUNT($Z14,$AB14,$AD14,$AF14,$AH14)=5,SUM('任务说明'!$O$9:$O$13)=100),($Z14*'任务说明'!$O$9+$AB14*'任务说明'!$O$10+$AD14*'任务说明'!$O$11+$AF14*'任务说明'!$O$12+$AH14*'任务说明'!$O$13)/100,"")</x:f>
      </x:c>
      <x:c r="AJ14" s="36"/>
      <x:c r="AK14" s="36"/>
      <x:c r="AL14" s="36"/>
      <x:c r="AM14" s="56"/>
      <x:c r="AN14" s="36"/>
      <x:c r="AO14" s="36"/>
      <x:c r="AP14" s="36"/>
    </x:row>
    <x:row r="15" ht="30" customHeight="1">
      <x:c r="A15" s="36"/>
      <x:c r="B15" s="37" t="str">
        <x:f>IF(AND($A15="严格",ISNUMBER($AI15)),RANK.EQ($AI15,$AI$4:$AI$23,0),"")</x:f>
      </x:c>
      <x:c r="C15" s="41"/>
      <x:c r="D15" s="36"/>
      <x:c r="E15" s="36"/>
      <x:c r="F15" s="36"/>
      <x:c r="G15" s="41"/>
      <x:c r="H15" s="36"/>
      <x:c r="I15" s="36"/>
      <x:c r="J15" s="36"/>
      <x:c r="K15" s="36"/>
      <x:c r="L15" s="36"/>
      <x:c r="M15" s="36"/>
      <x:c r="N15" s="36"/>
      <x:c r="O15" s="44"/>
      <x:c r="P15" s="44"/>
      <x:c r="Q15" s="36"/>
      <x:c r="R15" s="36"/>
      <x:c r="S15" s="50"/>
      <x:c r="T15" s="36"/>
      <x:c r="U15" s="41"/>
      <x:c r="V15" s="36"/>
      <x:c r="W15" s="36"/>
      <x:c r="X15" s="36"/>
      <x:c r="Y15" s="36"/>
      <x:c r="Z15" s="47"/>
      <x:c r="AA15" s="47"/>
      <x:c r="AB15" s="47"/>
      <x:c r="AC15" s="47"/>
      <x:c r="AD15" s="47"/>
      <x:c r="AE15" s="47"/>
      <x:c r="AF15" s="47"/>
      <x:c r="AG15" s="47"/>
      <x:c r="AH15" s="47"/>
      <x:c r="AI15" s="53" t="str">
        <x:f>IF(AND($A15="严格",COUNT($Z15,$AB15,$AD15,$AF15,$AH15)=5,SUM('任务说明'!$O$9:$O$13)=100),($Z15*'任务说明'!$O$9+$AB15*'任务说明'!$O$10+$AD15*'任务说明'!$O$11+$AF15*'任务说明'!$O$12+$AH15*'任务说明'!$O$13)/100,"")</x:f>
      </x:c>
      <x:c r="AJ15" s="36"/>
      <x:c r="AK15" s="36"/>
      <x:c r="AL15" s="36"/>
      <x:c r="AM15" s="56"/>
      <x:c r="AN15" s="36"/>
      <x:c r="AO15" s="36"/>
      <x:c r="AP15" s="36"/>
    </x:row>
    <x:row r="16" ht="30" customHeight="1">
      <x:c r="A16" s="36"/>
      <x:c r="B16" s="37" t="str">
        <x:f>IF(AND($A16="严格",ISNUMBER($AI16)),RANK.EQ($AI16,$AI$4:$AI$23,0),"")</x:f>
      </x:c>
      <x:c r="C16" s="41"/>
      <x:c r="D16" s="36"/>
      <x:c r="E16" s="36"/>
      <x:c r="F16" s="36"/>
      <x:c r="G16" s="41"/>
      <x:c r="H16" s="36"/>
      <x:c r="I16" s="36"/>
      <x:c r="J16" s="36"/>
      <x:c r="K16" s="36"/>
      <x:c r="L16" s="36"/>
      <x:c r="M16" s="36"/>
      <x:c r="N16" s="36"/>
      <x:c r="O16" s="44"/>
      <x:c r="P16" s="44"/>
      <x:c r="Q16" s="36"/>
      <x:c r="R16" s="36"/>
      <x:c r="S16" s="50"/>
      <x:c r="T16" s="36"/>
      <x:c r="U16" s="41"/>
      <x:c r="V16" s="36"/>
      <x:c r="W16" s="36"/>
      <x:c r="X16" s="36"/>
      <x:c r="Y16" s="36"/>
      <x:c r="Z16" s="47"/>
      <x:c r="AA16" s="47"/>
      <x:c r="AB16" s="47"/>
      <x:c r="AC16" s="47"/>
      <x:c r="AD16" s="47"/>
      <x:c r="AE16" s="47"/>
      <x:c r="AF16" s="47"/>
      <x:c r="AG16" s="47"/>
      <x:c r="AH16" s="47"/>
      <x:c r="AI16" s="53" t="str">
        <x:f>IF(AND($A16="严格",COUNT($Z16,$AB16,$AD16,$AF16,$AH16)=5,SUM('任务说明'!$O$9:$O$13)=100),($Z16*'任务说明'!$O$9+$AB16*'任务说明'!$O$10+$AD16*'任务说明'!$O$11+$AF16*'任务说明'!$O$12+$AH16*'任务说明'!$O$13)/100,"")</x:f>
      </x:c>
      <x:c r="AJ16" s="36"/>
      <x:c r="AK16" s="36"/>
      <x:c r="AL16" s="36"/>
      <x:c r="AM16" s="56"/>
      <x:c r="AN16" s="36"/>
      <x:c r="AO16" s="36"/>
      <x:c r="AP16" s="36"/>
    </x:row>
    <x:row r="17" ht="30" customHeight="1">
      <x:c r="A17" s="36"/>
      <x:c r="B17" s="37" t="str">
        <x:f>IF(AND($A17="严格",ISNUMBER($AI17)),RANK.EQ($AI17,$AI$4:$AI$23,0),"")</x:f>
      </x:c>
      <x:c r="C17" s="41"/>
      <x:c r="D17" s="36"/>
      <x:c r="E17" s="36"/>
      <x:c r="F17" s="36"/>
      <x:c r="G17" s="41"/>
      <x:c r="H17" s="36"/>
      <x:c r="I17" s="36"/>
      <x:c r="J17" s="36"/>
      <x:c r="K17" s="36"/>
      <x:c r="L17" s="36"/>
      <x:c r="M17" s="36"/>
      <x:c r="N17" s="36"/>
      <x:c r="O17" s="44"/>
      <x:c r="P17" s="44"/>
      <x:c r="Q17" s="36"/>
      <x:c r="R17" s="36"/>
      <x:c r="S17" s="50"/>
      <x:c r="T17" s="36"/>
      <x:c r="U17" s="41"/>
      <x:c r="V17" s="36"/>
      <x:c r="W17" s="36"/>
      <x:c r="X17" s="36"/>
      <x:c r="Y17" s="36"/>
      <x:c r="Z17" s="47"/>
      <x:c r="AA17" s="47"/>
      <x:c r="AB17" s="47"/>
      <x:c r="AC17" s="47"/>
      <x:c r="AD17" s="47"/>
      <x:c r="AE17" s="47"/>
      <x:c r="AF17" s="47"/>
      <x:c r="AG17" s="47"/>
      <x:c r="AH17" s="47"/>
      <x:c r="AI17" s="53" t="str">
        <x:f>IF(AND($A17="严格",COUNT($Z17,$AB17,$AD17,$AF17,$AH17)=5,SUM('任务说明'!$O$9:$O$13)=100),($Z17*'任务说明'!$O$9+$AB17*'任务说明'!$O$10+$AD17*'任务说明'!$O$11+$AF17*'任务说明'!$O$12+$AH17*'任务说明'!$O$13)/100,"")</x:f>
      </x:c>
      <x:c r="AJ17" s="36"/>
      <x:c r="AK17" s="36"/>
      <x:c r="AL17" s="36"/>
      <x:c r="AM17" s="56"/>
      <x:c r="AN17" s="36"/>
      <x:c r="AO17" s="36"/>
      <x:c r="AP17" s="36"/>
    </x:row>
    <x:row r="18" ht="30" customHeight="1">
      <x:c r="A18" s="36"/>
      <x:c r="B18" s="37" t="str">
        <x:f>IF(AND($A18="严格",ISNUMBER($AI18)),RANK.EQ($AI18,$AI$4:$AI$23,0),"")</x:f>
      </x:c>
      <x:c r="C18" s="41"/>
      <x:c r="D18" s="36"/>
      <x:c r="E18" s="36"/>
      <x:c r="F18" s="36"/>
      <x:c r="G18" s="41"/>
      <x:c r="H18" s="36"/>
      <x:c r="I18" s="36"/>
      <x:c r="J18" s="36"/>
      <x:c r="K18" s="36"/>
      <x:c r="L18" s="36"/>
      <x:c r="M18" s="36"/>
      <x:c r="N18" s="36"/>
      <x:c r="O18" s="44"/>
      <x:c r="P18" s="44"/>
      <x:c r="Q18" s="36"/>
      <x:c r="R18" s="36"/>
      <x:c r="S18" s="50"/>
      <x:c r="T18" s="36"/>
      <x:c r="U18" s="41"/>
      <x:c r="V18" s="36"/>
      <x:c r="W18" s="36"/>
      <x:c r="X18" s="36"/>
      <x:c r="Y18" s="36"/>
      <x:c r="Z18" s="47"/>
      <x:c r="AA18" s="47"/>
      <x:c r="AB18" s="47"/>
      <x:c r="AC18" s="47"/>
      <x:c r="AD18" s="47"/>
      <x:c r="AE18" s="47"/>
      <x:c r="AF18" s="47"/>
      <x:c r="AG18" s="47"/>
      <x:c r="AH18" s="47"/>
      <x:c r="AI18" s="53" t="str">
        <x:f>IF(AND($A18="严格",COUNT($Z18,$AB18,$AD18,$AF18,$AH18)=5,SUM('任务说明'!$O$9:$O$13)=100),($Z18*'任务说明'!$O$9+$AB18*'任务说明'!$O$10+$AD18*'任务说明'!$O$11+$AF18*'任务说明'!$O$12+$AH18*'任务说明'!$O$13)/100,"")</x:f>
      </x:c>
      <x:c r="AJ18" s="36"/>
      <x:c r="AK18" s="36"/>
      <x:c r="AL18" s="36"/>
      <x:c r="AM18" s="56"/>
      <x:c r="AN18" s="36"/>
      <x:c r="AO18" s="36"/>
      <x:c r="AP18" s="36"/>
    </x:row>
    <x:row r="19" ht="30" customHeight="1">
      <x:c r="A19" s="36"/>
      <x:c r="B19" s="37" t="str">
        <x:f>IF(AND($A19="严格",ISNUMBER($AI19)),RANK.EQ($AI19,$AI$4:$AI$23,0),"")</x:f>
      </x:c>
      <x:c r="C19" s="41"/>
      <x:c r="D19" s="36"/>
      <x:c r="E19" s="36"/>
      <x:c r="F19" s="36"/>
      <x:c r="G19" s="41"/>
      <x:c r="H19" s="36"/>
      <x:c r="I19" s="36"/>
      <x:c r="J19" s="36"/>
      <x:c r="K19" s="36"/>
      <x:c r="L19" s="36"/>
      <x:c r="M19" s="36"/>
      <x:c r="N19" s="36"/>
      <x:c r="O19" s="44"/>
      <x:c r="P19" s="44"/>
      <x:c r="Q19" s="36"/>
      <x:c r="R19" s="36"/>
      <x:c r="S19" s="50"/>
      <x:c r="T19" s="36"/>
      <x:c r="U19" s="41"/>
      <x:c r="V19" s="36"/>
      <x:c r="W19" s="36"/>
      <x:c r="X19" s="36"/>
      <x:c r="Y19" s="36"/>
      <x:c r="Z19" s="47"/>
      <x:c r="AA19" s="47"/>
      <x:c r="AB19" s="47"/>
      <x:c r="AC19" s="47"/>
      <x:c r="AD19" s="47"/>
      <x:c r="AE19" s="47"/>
      <x:c r="AF19" s="47"/>
      <x:c r="AG19" s="47"/>
      <x:c r="AH19" s="47"/>
      <x:c r="AI19" s="53" t="str">
        <x:f>IF(AND($A19="严格",COUNT($Z19,$AB19,$AD19,$AF19,$AH19)=5,SUM('任务说明'!$O$9:$O$13)=100),($Z19*'任务说明'!$O$9+$AB19*'任务说明'!$O$10+$AD19*'任务说明'!$O$11+$AF19*'任务说明'!$O$12+$AH19*'任务说明'!$O$13)/100,"")</x:f>
      </x:c>
      <x:c r="AJ19" s="36"/>
      <x:c r="AK19" s="36"/>
      <x:c r="AL19" s="36"/>
      <x:c r="AM19" s="56"/>
      <x:c r="AN19" s="36"/>
      <x:c r="AO19" s="36"/>
      <x:c r="AP19" s="36"/>
    </x:row>
    <x:row r="20" ht="30" customHeight="1">
      <x:c r="A20" s="36"/>
      <x:c r="B20" s="37" t="str">
        <x:f>IF(AND($A20="严格",ISNUMBER($AI20)),RANK.EQ($AI20,$AI$4:$AI$23,0),"")</x:f>
      </x:c>
      <x:c r="C20" s="41"/>
      <x:c r="D20" s="36"/>
      <x:c r="E20" s="36"/>
      <x:c r="F20" s="36"/>
      <x:c r="G20" s="41"/>
      <x:c r="H20" s="36"/>
      <x:c r="I20" s="36"/>
      <x:c r="J20" s="36"/>
      <x:c r="K20" s="36"/>
      <x:c r="L20" s="36"/>
      <x:c r="M20" s="36"/>
      <x:c r="N20" s="36"/>
      <x:c r="O20" s="44"/>
      <x:c r="P20" s="44"/>
      <x:c r="Q20" s="36"/>
      <x:c r="R20" s="36"/>
      <x:c r="S20" s="50"/>
      <x:c r="T20" s="36"/>
      <x:c r="U20" s="41"/>
      <x:c r="V20" s="36"/>
      <x:c r="W20" s="36"/>
      <x:c r="X20" s="36"/>
      <x:c r="Y20" s="36"/>
      <x:c r="Z20" s="47"/>
      <x:c r="AA20" s="47"/>
      <x:c r="AB20" s="47"/>
      <x:c r="AC20" s="47"/>
      <x:c r="AD20" s="47"/>
      <x:c r="AE20" s="47"/>
      <x:c r="AF20" s="47"/>
      <x:c r="AG20" s="47"/>
      <x:c r="AH20" s="47"/>
      <x:c r="AI20" s="53" t="str">
        <x:f>IF(AND($A20="严格",COUNT($Z20,$AB20,$AD20,$AF20,$AH20)=5,SUM('任务说明'!$O$9:$O$13)=100),($Z20*'任务说明'!$O$9+$AB20*'任务说明'!$O$10+$AD20*'任务说明'!$O$11+$AF20*'任务说明'!$O$12+$AH20*'任务说明'!$O$13)/100,"")</x:f>
      </x:c>
      <x:c r="AJ20" s="36"/>
      <x:c r="AK20" s="36"/>
      <x:c r="AL20" s="36"/>
      <x:c r="AM20" s="56"/>
      <x:c r="AN20" s="36"/>
      <x:c r="AO20" s="36"/>
      <x:c r="AP20" s="36"/>
    </x:row>
    <x:row r="21" ht="30" customHeight="1">
      <x:c r="A21" s="36"/>
      <x:c r="B21" s="37" t="str">
        <x:f>IF(AND($A21="严格",ISNUMBER($AI21)),RANK.EQ($AI21,$AI$4:$AI$23,0),"")</x:f>
      </x:c>
      <x:c r="C21" s="41"/>
      <x:c r="D21" s="36"/>
      <x:c r="E21" s="36"/>
      <x:c r="F21" s="36"/>
      <x:c r="G21" s="41"/>
      <x:c r="H21" s="36"/>
      <x:c r="I21" s="36"/>
      <x:c r="J21" s="36"/>
      <x:c r="K21" s="36"/>
      <x:c r="L21" s="36"/>
      <x:c r="M21" s="36"/>
      <x:c r="N21" s="36"/>
      <x:c r="O21" s="44"/>
      <x:c r="P21" s="44"/>
      <x:c r="Q21" s="36"/>
      <x:c r="R21" s="36"/>
      <x:c r="S21" s="50"/>
      <x:c r="T21" s="36"/>
      <x:c r="U21" s="41"/>
      <x:c r="V21" s="36"/>
      <x:c r="W21" s="36"/>
      <x:c r="X21" s="36"/>
      <x:c r="Y21" s="36"/>
      <x:c r="Z21" s="47"/>
      <x:c r="AA21" s="47"/>
      <x:c r="AB21" s="47"/>
      <x:c r="AC21" s="47"/>
      <x:c r="AD21" s="47"/>
      <x:c r="AE21" s="47"/>
      <x:c r="AF21" s="47"/>
      <x:c r="AG21" s="47"/>
      <x:c r="AH21" s="47"/>
      <x:c r="AI21" s="53" t="str">
        <x:f>IF(AND($A21="严格",COUNT($Z21,$AB21,$AD21,$AF21,$AH21)=5,SUM('任务说明'!$O$9:$O$13)=100),($Z21*'任务说明'!$O$9+$AB21*'任务说明'!$O$10+$AD21*'任务说明'!$O$11+$AF21*'任务说明'!$O$12+$AH21*'任务说明'!$O$13)/100,"")</x:f>
      </x:c>
      <x:c r="AJ21" s="36"/>
      <x:c r="AK21" s="36"/>
      <x:c r="AL21" s="36"/>
      <x:c r="AM21" s="56"/>
      <x:c r="AN21" s="36"/>
      <x:c r="AO21" s="36"/>
      <x:c r="AP21" s="36"/>
    </x:row>
    <x:row r="22" ht="30" customHeight="1">
      <x:c r="A22" s="36"/>
      <x:c r="B22" s="37" t="str">
        <x:f>IF(AND($A22="严格",ISNUMBER($AI22)),RANK.EQ($AI22,$AI$4:$AI$23,0),"")</x:f>
      </x:c>
      <x:c r="C22" s="41"/>
      <x:c r="D22" s="36"/>
      <x:c r="E22" s="36"/>
      <x:c r="F22" s="36"/>
      <x:c r="G22" s="41"/>
      <x:c r="H22" s="36"/>
      <x:c r="I22" s="36"/>
      <x:c r="J22" s="36"/>
      <x:c r="K22" s="36"/>
      <x:c r="L22" s="36"/>
      <x:c r="M22" s="36"/>
      <x:c r="N22" s="36"/>
      <x:c r="O22" s="44"/>
      <x:c r="P22" s="44"/>
      <x:c r="Q22" s="36"/>
      <x:c r="R22" s="36"/>
      <x:c r="S22" s="50"/>
      <x:c r="T22" s="36"/>
      <x:c r="U22" s="41"/>
      <x:c r="V22" s="36"/>
      <x:c r="W22" s="36"/>
      <x:c r="X22" s="36"/>
      <x:c r="Y22" s="36"/>
      <x:c r="Z22" s="47"/>
      <x:c r="AA22" s="47"/>
      <x:c r="AB22" s="47"/>
      <x:c r="AC22" s="47"/>
      <x:c r="AD22" s="47"/>
      <x:c r="AE22" s="47"/>
      <x:c r="AF22" s="47"/>
      <x:c r="AG22" s="47"/>
      <x:c r="AH22" s="47"/>
      <x:c r="AI22" s="53" t="str">
        <x:f>IF(AND($A22="严格",COUNT($Z22,$AB22,$AD22,$AF22,$AH22)=5,SUM('任务说明'!$O$9:$O$13)=100),($Z22*'任务说明'!$O$9+$AB22*'任务说明'!$O$10+$AD22*'任务说明'!$O$11+$AF22*'任务说明'!$O$12+$AH22*'任务说明'!$O$13)/100,"")</x:f>
      </x:c>
      <x:c r="AJ22" s="36"/>
      <x:c r="AK22" s="36"/>
      <x:c r="AL22" s="36"/>
      <x:c r="AM22" s="56"/>
      <x:c r="AN22" s="36"/>
      <x:c r="AO22" s="36"/>
      <x:c r="AP22" s="36"/>
    </x:row>
    <x:row r="23" ht="30" customHeight="1">
      <x:c r="A23" s="38"/>
      <x:c r="B23" s="39" t="str">
        <x:f>IF(AND($A23="严格",ISNUMBER($AI23)),RANK.EQ($AI23,$AI$4:$AI$23,0),"")</x:f>
      </x:c>
      <x:c r="C23" s="42"/>
      <x:c r="D23" s="38"/>
      <x:c r="E23" s="38"/>
      <x:c r="F23" s="38"/>
      <x:c r="G23" s="42"/>
      <x:c r="H23" s="38"/>
      <x:c r="I23" s="38"/>
      <x:c r="J23" s="38"/>
      <x:c r="K23" s="38"/>
      <x:c r="L23" s="38"/>
      <x:c r="M23" s="38"/>
      <x:c r="N23" s="38"/>
      <x:c r="O23" s="45"/>
      <x:c r="P23" s="45"/>
      <x:c r="Q23" s="38"/>
      <x:c r="R23" s="38"/>
      <x:c r="S23" s="51"/>
      <x:c r="T23" s="38"/>
      <x:c r="U23" s="42"/>
      <x:c r="V23" s="38"/>
      <x:c r="W23" s="38"/>
      <x:c r="X23" s="38"/>
      <x:c r="Y23" s="38"/>
      <x:c r="Z23" s="48"/>
      <x:c r="AA23" s="48"/>
      <x:c r="AB23" s="48"/>
      <x:c r="AC23" s="48"/>
      <x:c r="AD23" s="48"/>
      <x:c r="AE23" s="48"/>
      <x:c r="AF23" s="48"/>
      <x:c r="AG23" s="48"/>
      <x:c r="AH23" s="48"/>
      <x:c r="AI23" s="54" t="str">
        <x:f>IF(AND($A23="严格",COUNT($Z23,$AB23,$AD23,$AF23,$AH23)=5,SUM('任务说明'!$O$9:$O$13)=100),($Z23*'任务说明'!$O$9+$AB23*'任务说明'!$O$10+$AD23*'任务说明'!$O$11+$AF23*'任务说明'!$O$12+$AH23*'任务说明'!$O$13)/100,"")</x:f>
      </x:c>
      <x:c r="AJ23" s="38"/>
      <x:c r="AK23" s="38"/>
      <x:c r="AL23" s="38"/>
      <x:c r="AM23" s="57"/>
      <x:c r="AN23" s="38"/>
      <x:c r="AO23" s="38"/>
      <x:c r="AP23" s="38"/>
    </x:row>
  </x:sheetData>
  <x:mergeCells>
    <x:mergeCell ref="A1:AP1"/>
    <x:mergeCell ref="A2:AP2"/>
  </x:mergeCells>
  <x:conditionalFormatting sqref="A4:A23">
    <x:cfRule type="containsText" dxfId="3" priority="1" operator="containsText" text="严格"/>
    <x:cfRule type="containsText" dxfId="4" priority="2" operator="containsText" text="待核验"/>
    <x:cfRule type="containsText" dxfId="5" priority="3" operator="containsText" text="淘汰"/>
  </x:conditionalFormatting>
  <x:dataValidations count="8">
    <x:dataValidation type="list" sqref="A4:A23">
      <x:formula1>"严格,待核验,淘汰"</x:formula1>
    </x:dataValidation>
    <x:dataValidation type="list" sqref="H4:H23">
      <x:formula1>"通过,失败,待核验"</x:formula1>
    </x:dataValidation>
    <x:dataValidation type="list" sqref="I4:I23">
      <x:formula1>"通过,失败,待核验"</x:formula1>
    </x:dataValidation>
    <x:dataValidation type="list" sqref="J4:J23">
      <x:formula1>"通过,失败,待核验"</x:formula1>
    </x:dataValidation>
    <x:dataValidation type="list" sqref="K4:K23">
      <x:formula1>"通过,失败,待核验"</x:formula1>
    </x:dataValidation>
    <x:dataValidation type="list" sqref="L4:L23">
      <x:formula1>"通过,失败,待核验"</x:formula1>
    </x:dataValidation>
    <x:dataValidation type="list" sqref="M4:M23">
      <x:formula1>"通过,失败,待核验"</x:formula1>
    </x:dataValidation>
    <x:dataValidation type="list" sqref="AN4:AN23">
      <x:formula1>"高,中,低,缺失"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931561fdf1417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" hidden="0" customWidth="1"/>
    <x:col min="3" max="3" width="18" hidden="0" customWidth="1"/>
    <x:col min="4" max="4" width="14" hidden="0" customWidth="1"/>
    <x:col min="5" max="5" width="22" hidden="0" customWidth="1"/>
    <x:col min="6" max="6" width="16" hidden="0" customWidth="1"/>
    <x:col min="7" max="7" width="22" hidden="0" customWidth="1"/>
    <x:col min="8" max="8" width="12" hidden="0" customWidth="1"/>
    <x:col min="9" max="9" width="12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28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3" hidden="0" customWidth="1"/>
    <x:col min="25" max="25" width="13" hidden="0" customWidth="1"/>
    <x:col min="26" max="26" width="13" hidden="0" customWidth="1"/>
    <x:col min="27" max="27" width="16" hidden="0" customWidth="1"/>
    <x:col min="28" max="28" width="22" hidden="0" customWidth="1"/>
    <x:col min="29" max="29" width="18" hidden="0" customWidth="1"/>
    <x:col min="30" max="30" width="10" hidden="0" customWidth="1"/>
    <x:col min="31" max="31" width="24" hidden="0" customWidth="1"/>
    <x:col min="32" max="32" width="18" hidden="0" customWidth="1"/>
  </x:cols>
  <x:sheetData>
    <x:row r="1" ht="30" customHeight="1">
      <x:c r="A1" s="3" t="str">
        <x:v>Amazon × 1688 货源匹配</x:v>
      </x:c>
      <x:c r="B1" s="3" t="str">
        <x:v>Amazon × 1688 货源匹配</x:v>
      </x:c>
      <x:c r="C1" s="3" t="str">
        <x:v>Amazon × 1688 货源匹配</x:v>
      </x:c>
      <x:c r="D1" s="3" t="str">
        <x:v>Amazon × 1688 货源匹配</x:v>
      </x:c>
      <x:c r="E1" s="3" t="str">
        <x:v>Amazon × 1688 货源匹配</x:v>
      </x:c>
      <x:c r="F1" s="3" t="str">
        <x:v>Amazon × 1688 货源匹配</x:v>
      </x:c>
      <x:c r="G1" s="3" t="str">
        <x:v>Amazon × 1688 货源匹配</x:v>
      </x:c>
      <x:c r="H1" s="3" t="str">
        <x:v>Amazon × 1688 货源匹配</x:v>
      </x:c>
      <x:c r="I1" s="3" t="str">
        <x:v>Amazon × 1688 货源匹配</x:v>
      </x:c>
      <x:c r="J1" s="3" t="str">
        <x:v>Amazon × 1688 货源匹配</x:v>
      </x:c>
      <x:c r="K1" s="3" t="str">
        <x:v>Amazon × 1688 货源匹配</x:v>
      </x:c>
      <x:c r="L1" s="3" t="str">
        <x:v>Amazon × 1688 货源匹配</x:v>
      </x:c>
      <x:c r="M1" s="3" t="str">
        <x:v>Amazon × 1688 货源匹配</x:v>
      </x:c>
      <x:c r="N1" s="3" t="str">
        <x:v>Amazon × 1688 货源匹配</x:v>
      </x:c>
      <x:c r="O1" s="3" t="str">
        <x:v>Amazon × 1688 货源匹配</x:v>
      </x:c>
      <x:c r="P1" s="3" t="str">
        <x:v>Amazon × 1688 货源匹配</x:v>
      </x:c>
      <x:c r="Q1" s="3" t="str">
        <x:v>Amazon × 1688 货源匹配</x:v>
      </x:c>
      <x:c r="R1" s="3" t="str">
        <x:v>Amazon × 1688 货源匹配</x:v>
      </x:c>
      <x:c r="S1" s="3" t="str">
        <x:v>Amazon × 1688 货源匹配</x:v>
      </x:c>
      <x:c r="T1" s="3" t="str">
        <x:v>Amazon × 1688 货源匹配</x:v>
      </x:c>
      <x:c r="U1" s="3" t="str">
        <x:v>Amazon × 1688 货源匹配</x:v>
      </x:c>
      <x:c r="V1" s="3" t="str">
        <x:v>Amazon × 1688 货源匹配</x:v>
      </x:c>
      <x:c r="W1" s="3" t="str">
        <x:v>Amazon × 1688 货源匹配</x:v>
      </x:c>
      <x:c r="X1" s="3" t="str">
        <x:v>Amazon × 1688 货源匹配</x:v>
      </x:c>
      <x:c r="Y1" s="3" t="str">
        <x:v>Amazon × 1688 货源匹配</x:v>
      </x:c>
      <x:c r="Z1" s="3" t="str">
        <x:v>Amazon × 1688 货源匹配</x:v>
      </x:c>
      <x:c r="AA1" s="3" t="str">
        <x:v>Amazon × 1688 货源匹配</x:v>
      </x:c>
      <x:c r="AB1" s="3" t="str">
        <x:v>Amazon × 1688 货源匹配</x:v>
      </x:c>
      <x:c r="AC1" s="3" t="str">
        <x:v>Amazon × 1688 货源匹配</x:v>
      </x:c>
      <x:c r="AD1" s="3" t="str">
        <x:v>Amazon × 1688 货源匹配</x:v>
      </x:c>
      <x:c r="AE1" s="3" t="str">
        <x:v>Amazon × 1688 货源匹配</x:v>
      </x:c>
      <x:c r="AF1" s="3" t="str">
        <x:v>Amazon × 1688 货源匹配</x:v>
      </x:c>
    </x:row>
    <x:row r="2" ht="34" customHeight="1">
      <x:c r="A2" s="7" t="str">
        <x:v>市场机会、供应能力和匹配质量必须分开。只有两侧都严格且配对门槛全部通过，才进入严格配对排名。</x:v>
      </x:c>
      <x:c r="B2" s="7" t="str">
        <x:v>市场机会、供应能力和匹配质量必须分开。只有两侧都严格且配对门槛全部通过，才进入严格配对排名。</x:v>
      </x:c>
      <x:c r="C2" s="7" t="str">
        <x:v>市场机会、供应能力和匹配质量必须分开。只有两侧都严格且配对门槛全部通过，才进入严格配对排名。</x:v>
      </x:c>
      <x:c r="D2" s="7" t="str">
        <x:v>市场机会、供应能力和匹配质量必须分开。只有两侧都严格且配对门槛全部通过，才进入严格配对排名。</x:v>
      </x:c>
      <x:c r="E2" s="7" t="str">
        <x:v>市场机会、供应能力和匹配质量必须分开。只有两侧都严格且配对门槛全部通过，才进入严格配对排名。</x:v>
      </x:c>
      <x:c r="F2" s="7" t="str">
        <x:v>市场机会、供应能力和匹配质量必须分开。只有两侧都严格且配对门槛全部通过，才进入严格配对排名。</x:v>
      </x:c>
      <x:c r="G2" s="7" t="str">
        <x:v>市场机会、供应能力和匹配质量必须分开。只有两侧都严格且配对门槛全部通过，才进入严格配对排名。</x:v>
      </x:c>
      <x:c r="H2" s="7" t="str">
        <x:v>市场机会、供应能力和匹配质量必须分开。只有两侧都严格且配对门槛全部通过，才进入严格配对排名。</x:v>
      </x:c>
      <x:c r="I2" s="7" t="str">
        <x:v>市场机会、供应能力和匹配质量必须分开。只有两侧都严格且配对门槛全部通过，才进入严格配对排名。</x:v>
      </x:c>
      <x:c r="J2" s="7" t="str">
        <x:v>市场机会、供应能力和匹配质量必须分开。只有两侧都严格且配对门槛全部通过，才进入严格配对排名。</x:v>
      </x:c>
      <x:c r="K2" s="7" t="str">
        <x:v>市场机会、供应能力和匹配质量必须分开。只有两侧都严格且配对门槛全部通过，才进入严格配对排名。</x:v>
      </x:c>
      <x:c r="L2" s="7" t="str">
        <x:v>市场机会、供应能力和匹配质量必须分开。只有两侧都严格且配对门槛全部通过，才进入严格配对排名。</x:v>
      </x:c>
      <x:c r="M2" s="7" t="str">
        <x:v>市场机会、供应能力和匹配质量必须分开。只有两侧都严格且配对门槛全部通过，才进入严格配对排名。</x:v>
      </x:c>
      <x:c r="N2" s="7" t="str">
        <x:v>市场机会、供应能力和匹配质量必须分开。只有两侧都严格且配对门槛全部通过，才进入严格配对排名。</x:v>
      </x:c>
      <x:c r="O2" s="7" t="str">
        <x:v>市场机会、供应能力和匹配质量必须分开。只有两侧都严格且配对门槛全部通过，才进入严格配对排名。</x:v>
      </x:c>
      <x:c r="P2" s="7" t="str">
        <x:v>市场机会、供应能力和匹配质量必须分开。只有两侧都严格且配对门槛全部通过，才进入严格配对排名。</x:v>
      </x:c>
      <x:c r="Q2" s="7" t="str">
        <x:v>市场机会、供应能力和匹配质量必须分开。只有两侧都严格且配对门槛全部通过，才进入严格配对排名。</x:v>
      </x:c>
      <x:c r="R2" s="7" t="str">
        <x:v>市场机会、供应能力和匹配质量必须分开。只有两侧都严格且配对门槛全部通过，才进入严格配对排名。</x:v>
      </x:c>
      <x:c r="S2" s="7" t="str">
        <x:v>市场机会、供应能力和匹配质量必须分开。只有两侧都严格且配对门槛全部通过，才进入严格配对排名。</x:v>
      </x:c>
      <x:c r="T2" s="7" t="str">
        <x:v>市场机会、供应能力和匹配质量必须分开。只有两侧都严格且配对门槛全部通过，才进入严格配对排名。</x:v>
      </x:c>
      <x:c r="U2" s="7" t="str">
        <x:v>市场机会、供应能力和匹配质量必须分开。只有两侧都严格且配对门槛全部通过，才进入严格配对排名。</x:v>
      </x:c>
      <x:c r="V2" s="7" t="str">
        <x:v>市场机会、供应能力和匹配质量必须分开。只有两侧都严格且配对门槛全部通过，才进入严格配对排名。</x:v>
      </x:c>
      <x:c r="W2" s="7" t="str">
        <x:v>市场机会、供应能力和匹配质量必须分开。只有两侧都严格且配对门槛全部通过，才进入严格配对排名。</x:v>
      </x:c>
      <x:c r="X2" s="7" t="str">
        <x:v>市场机会、供应能力和匹配质量必须分开。只有两侧都严格且配对门槛全部通过，才进入严格配对排名。</x:v>
      </x:c>
      <x:c r="Y2" s="7" t="str">
        <x:v>市场机会、供应能力和匹配质量必须分开。只有两侧都严格且配对门槛全部通过，才进入严格配对排名。</x:v>
      </x:c>
      <x:c r="Z2" s="7" t="str">
        <x:v>市场机会、供应能力和匹配质量必须分开。只有两侧都严格且配对门槛全部通过，才进入严格配对排名。</x:v>
      </x:c>
      <x:c r="AA2" s="7" t="str">
        <x:v>市场机会、供应能力和匹配质量必须分开。只有两侧都严格且配对门槛全部通过，才进入严格配对排名。</x:v>
      </x:c>
      <x:c r="AB2" s="7" t="str">
        <x:v>市场机会、供应能力和匹配质量必须分开。只有两侧都严格且配对门槛全部通过，才进入严格配对排名。</x:v>
      </x:c>
      <x:c r="AC2" s="7" t="str">
        <x:v>市场机会、供应能力和匹配质量必须分开。只有两侧都严格且配对门槛全部通过，才进入严格配对排名。</x:v>
      </x:c>
      <x:c r="AD2" s="7" t="str">
        <x:v>市场机会、供应能力和匹配质量必须分开。只有两侧都严格且配对门槛全部通过，才进入严格配对排名。</x:v>
      </x:c>
      <x:c r="AE2" s="7" t="str">
        <x:v>市场机会、供应能力和匹配质量必须分开。只有两侧都严格且配对门槛全部通过，才进入严格配对排名。</x:v>
      </x:c>
      <x:c r="AF2" s="7" t="str">
        <x:v>市场机会、供应能力和匹配质量必须分开。只有两侧都严格且配对门槛全部通过，才进入严格配对排名。</x:v>
      </x:c>
    </x:row>
    <x:row r="3" ht="42" customHeight="1">
      <x:c r="A3" s="27" t="str">
        <x:v>状态</x:v>
      </x:c>
      <x:c r="B3" s="28" t="str">
        <x:v>排名</x:v>
      </x:c>
      <x:c r="C3" s="28" t="str">
        <x:v>配对ID</x:v>
      </x:c>
      <x:c r="D3" s="28" t="str">
        <x:v>Amazon ASIN</x:v>
      </x:c>
      <x:c r="E3" s="28" t="str">
        <x:v>Amazon链接</x:v>
      </x:c>
      <x:c r="F3" s="28" t="str">
        <x:v>1688商品ID</x:v>
      </x:c>
      <x:c r="G3" s="28" t="str">
        <x:v>1688链接</x:v>
      </x:c>
      <x:c r="H3" s="28" t="str">
        <x:v>Amazon状态</x:v>
      </x:c>
      <x:c r="I3" s="28" t="str">
        <x:v>1688状态</x:v>
      </x:c>
      <x:c r="J3" s="28" t="str">
        <x:v>产品本体匹配</x:v>
      </x:c>
      <x:c r="K3" s="28" t="str">
        <x:v>功能匹配</x:v>
      </x:c>
      <x:c r="L3" s="28" t="str">
        <x:v>材质匹配</x:v>
      </x:c>
      <x:c r="M3" s="28" t="str">
        <x:v>规格匹配</x:v>
      </x:c>
      <x:c r="N3" s="28" t="str">
        <x:v>外观匹配</x:v>
      </x:c>
      <x:c r="O3" s="28" t="str">
        <x:v>定制匹配</x:v>
      </x:c>
      <x:c r="P3" s="28" t="str">
        <x:v>成本MOQ可行</x:v>
      </x:c>
      <x:c r="Q3" s="28" t="str">
        <x:v>匹配原因</x:v>
      </x:c>
      <x:c r="R3" s="28" t="str">
        <x:v>维度1分</x:v>
      </x:c>
      <x:c r="S3" s="28" t="str">
        <x:v>维度2分</x:v>
      </x:c>
      <x:c r="T3" s="28" t="str">
        <x:v>维度3分</x:v>
      </x:c>
      <x:c r="U3" s="28" t="str">
        <x:v>维度4分</x:v>
      </x:c>
      <x:c r="V3" s="28" t="str">
        <x:v>维度5分</x:v>
      </x:c>
      <x:c r="W3" s="28" t="str">
        <x:v>维度6分</x:v>
      </x:c>
      <x:c r="X3" s="28" t="str">
        <x:v>匹配质量分</x:v>
      </x:c>
      <x:c r="Y3" s="28" t="str">
        <x:v>市场机会分</x:v>
      </x:c>
      <x:c r="Z3" s="28" t="str">
        <x:v>供应能力分</x:v>
      </x:c>
      <x:c r="AA3" s="28" t="str">
        <x:v>最终配对分（可选）</x:v>
      </x:c>
      <x:c r="AB3" s="28" t="str">
        <x:v>来源链接</x:v>
      </x:c>
      <x:c r="AC3" s="28" t="str">
        <x:v>抓取时间</x:v>
      </x:c>
      <x:c r="AD3" s="28" t="str">
        <x:v>置信度</x:v>
      </x:c>
      <x:c r="AE3" s="28" t="str">
        <x:v>冲突说明</x:v>
      </x:c>
      <x:c r="AF3" s="29" t="str">
        <x:v>决策日志引用</x:v>
      </x:c>
    </x:row>
    <x:row r="4" ht="30" customHeight="1">
      <x:c r="A4" s="34"/>
      <x:c r="B4" s="35" t="str">
        <x:f>IF($A4="严格",IF(ISNUMBER($AA4),RANK.EQ($AA4,$AA$4:$AA$23,0),IF(ISNUMBER($X4),RANK.EQ($X4,$X$4:$X$23,0),"")),"")</x:f>
      </x:c>
      <x:c r="C4" s="40"/>
      <x:c r="D4" s="40"/>
      <x:c r="E4" s="34"/>
      <x:c r="F4" s="40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46"/>
      <x:c r="S4" s="46"/>
      <x:c r="T4" s="46"/>
      <x:c r="U4" s="46"/>
      <x:c r="V4" s="46"/>
      <x:c r="W4" s="46"/>
      <x:c r="X4" s="52" t="str">
        <x:f>IF(AND($A4="严格",$H4="严格",$I4="严格",COUNT($R4:$W4)=6,SUM('任务说明'!$O$14:$O$19)=100),($R4*'任务说明'!$O$14+$S4*'任务说明'!$O$15+$T4*'任务说明'!$O$16+$U4*'任务说明'!$O$17+$V4*'任务说明'!$O$18+$W4*'任务说明'!$O$19)/100,"")</x:f>
      </x:c>
      <x:c r="Y4" s="46"/>
      <x:c r="Z4" s="46"/>
      <x:c r="AA4" s="46"/>
      <x:c r="AB4" s="34"/>
      <x:c r="AC4" s="55"/>
      <x:c r="AD4" s="34"/>
      <x:c r="AE4" s="34"/>
      <x:c r="AF4" s="34"/>
    </x:row>
    <x:row r="5" ht="30" customHeight="1">
      <x:c r="A5" s="36"/>
      <x:c r="B5" s="37" t="str">
        <x:f>IF($A5="严格",IF(ISNUMBER($AA5),RANK.EQ($AA5,$AA$4:$AA$23,0),IF(ISNUMBER($X5),RANK.EQ($X5,$X$4:$X$23,0),"")),"")</x:f>
      </x:c>
      <x:c r="C5" s="41"/>
      <x:c r="D5" s="41"/>
      <x:c r="E5" s="36"/>
      <x:c r="F5" s="41"/>
      <x:c r="G5" s="36"/>
      <x:c r="H5" s="36"/>
      <x:c r="I5" s="36"/>
      <x:c r="J5" s="36"/>
      <x:c r="K5" s="36"/>
      <x:c r="L5" s="36"/>
      <x:c r="M5" s="36"/>
      <x:c r="N5" s="36"/>
      <x:c r="O5" s="36"/>
      <x:c r="P5" s="36"/>
      <x:c r="Q5" s="36"/>
      <x:c r="R5" s="47"/>
      <x:c r="S5" s="47"/>
      <x:c r="T5" s="47"/>
      <x:c r="U5" s="47"/>
      <x:c r="V5" s="47"/>
      <x:c r="W5" s="47"/>
      <x:c r="X5" s="53" t="str">
        <x:f>IF(AND($A5="严格",$H5="严格",$I5="严格",COUNT($R5:$W5)=6,SUM('任务说明'!$O$14:$O$19)=100),($R5*'任务说明'!$O$14+$S5*'任务说明'!$O$15+$T5*'任务说明'!$O$16+$U5*'任务说明'!$O$17+$V5*'任务说明'!$O$18+$W5*'任务说明'!$O$19)/100,"")</x:f>
      </x:c>
      <x:c r="Y5" s="47"/>
      <x:c r="Z5" s="47"/>
      <x:c r="AA5" s="47"/>
      <x:c r="AB5" s="36"/>
      <x:c r="AC5" s="56"/>
      <x:c r="AD5" s="36"/>
      <x:c r="AE5" s="36"/>
      <x:c r="AF5" s="36"/>
    </x:row>
    <x:row r="6" ht="30" customHeight="1">
      <x:c r="A6" s="36"/>
      <x:c r="B6" s="37" t="str">
        <x:f>IF($A6="严格",IF(ISNUMBER($AA6),RANK.EQ($AA6,$AA$4:$AA$23,0),IF(ISNUMBER($X6),RANK.EQ($X6,$X$4:$X$23,0),"")),"")</x:f>
      </x:c>
      <x:c r="C6" s="41"/>
      <x:c r="D6" s="41"/>
      <x:c r="E6" s="36"/>
      <x:c r="F6" s="41"/>
      <x:c r="G6" s="36"/>
      <x:c r="H6" s="36"/>
      <x:c r="I6" s="36"/>
      <x:c r="J6" s="36"/>
      <x:c r="K6" s="36"/>
      <x:c r="L6" s="36"/>
      <x:c r="M6" s="36"/>
      <x:c r="N6" s="36"/>
      <x:c r="O6" s="36"/>
      <x:c r="P6" s="36"/>
      <x:c r="Q6" s="36"/>
      <x:c r="R6" s="47"/>
      <x:c r="S6" s="47"/>
      <x:c r="T6" s="47"/>
      <x:c r="U6" s="47"/>
      <x:c r="V6" s="47"/>
      <x:c r="W6" s="47"/>
      <x:c r="X6" s="53" t="str">
        <x:f>IF(AND($A6="严格",$H6="严格",$I6="严格",COUNT($R6:$W6)=6,SUM('任务说明'!$O$14:$O$19)=100),($R6*'任务说明'!$O$14+$S6*'任务说明'!$O$15+$T6*'任务说明'!$O$16+$U6*'任务说明'!$O$17+$V6*'任务说明'!$O$18+$W6*'任务说明'!$O$19)/100,"")</x:f>
      </x:c>
      <x:c r="Y6" s="47"/>
      <x:c r="Z6" s="47"/>
      <x:c r="AA6" s="47"/>
      <x:c r="AB6" s="36"/>
      <x:c r="AC6" s="56"/>
      <x:c r="AD6" s="36"/>
      <x:c r="AE6" s="36"/>
      <x:c r="AF6" s="36"/>
    </x:row>
    <x:row r="7" ht="30" customHeight="1">
      <x:c r="A7" s="36"/>
      <x:c r="B7" s="37" t="str">
        <x:f>IF($A7="严格",IF(ISNUMBER($AA7),RANK.EQ($AA7,$AA$4:$AA$23,0),IF(ISNUMBER($X7),RANK.EQ($X7,$X$4:$X$23,0),"")),"")</x:f>
      </x:c>
      <x:c r="C7" s="41"/>
      <x:c r="D7" s="41"/>
      <x:c r="E7" s="36"/>
      <x:c r="F7" s="41"/>
      <x:c r="G7" s="36"/>
      <x:c r="H7" s="36"/>
      <x:c r="I7" s="36"/>
      <x:c r="J7" s="36"/>
      <x:c r="K7" s="36"/>
      <x:c r="L7" s="36"/>
      <x:c r="M7" s="36"/>
      <x:c r="N7" s="36"/>
      <x:c r="O7" s="36"/>
      <x:c r="P7" s="36"/>
      <x:c r="Q7" s="36"/>
      <x:c r="R7" s="47"/>
      <x:c r="S7" s="47"/>
      <x:c r="T7" s="47"/>
      <x:c r="U7" s="47"/>
      <x:c r="V7" s="47"/>
      <x:c r="W7" s="47"/>
      <x:c r="X7" s="53" t="str">
        <x:f>IF(AND($A7="严格",$H7="严格",$I7="严格",COUNT($R7:$W7)=6,SUM('任务说明'!$O$14:$O$19)=100),($R7*'任务说明'!$O$14+$S7*'任务说明'!$O$15+$T7*'任务说明'!$O$16+$U7*'任务说明'!$O$17+$V7*'任务说明'!$O$18+$W7*'任务说明'!$O$19)/100,"")</x:f>
      </x:c>
      <x:c r="Y7" s="47"/>
      <x:c r="Z7" s="47"/>
      <x:c r="AA7" s="47"/>
      <x:c r="AB7" s="36"/>
      <x:c r="AC7" s="56"/>
      <x:c r="AD7" s="36"/>
      <x:c r="AE7" s="36"/>
      <x:c r="AF7" s="36"/>
    </x:row>
    <x:row r="8" ht="30" customHeight="1">
      <x:c r="A8" s="36"/>
      <x:c r="B8" s="37" t="str">
        <x:f>IF($A8="严格",IF(ISNUMBER($AA8),RANK.EQ($AA8,$AA$4:$AA$23,0),IF(ISNUMBER($X8),RANK.EQ($X8,$X$4:$X$23,0),"")),"")</x:f>
      </x:c>
      <x:c r="C8" s="41"/>
      <x:c r="D8" s="41"/>
      <x:c r="E8" s="36"/>
      <x:c r="F8" s="41"/>
      <x:c r="G8" s="36"/>
      <x:c r="H8" s="36"/>
      <x:c r="I8" s="36"/>
      <x:c r="J8" s="36"/>
      <x:c r="K8" s="36"/>
      <x:c r="L8" s="36"/>
      <x:c r="M8" s="36"/>
      <x:c r="N8" s="36"/>
      <x:c r="O8" s="36"/>
      <x:c r="P8" s="36"/>
      <x:c r="Q8" s="36"/>
      <x:c r="R8" s="47"/>
      <x:c r="S8" s="47"/>
      <x:c r="T8" s="47"/>
      <x:c r="U8" s="47"/>
      <x:c r="V8" s="47"/>
      <x:c r="W8" s="47"/>
      <x:c r="X8" s="53" t="str">
        <x:f>IF(AND($A8="严格",$H8="严格",$I8="严格",COUNT($R8:$W8)=6,SUM('任务说明'!$O$14:$O$19)=100),($R8*'任务说明'!$O$14+$S8*'任务说明'!$O$15+$T8*'任务说明'!$O$16+$U8*'任务说明'!$O$17+$V8*'任务说明'!$O$18+$W8*'任务说明'!$O$19)/100,"")</x:f>
      </x:c>
      <x:c r="Y8" s="47"/>
      <x:c r="Z8" s="47"/>
      <x:c r="AA8" s="47"/>
      <x:c r="AB8" s="36"/>
      <x:c r="AC8" s="56"/>
      <x:c r="AD8" s="36"/>
      <x:c r="AE8" s="36"/>
      <x:c r="AF8" s="36"/>
    </x:row>
    <x:row r="9" ht="30" customHeight="1">
      <x:c r="A9" s="36"/>
      <x:c r="B9" s="37" t="str">
        <x:f>IF($A9="严格",IF(ISNUMBER($AA9),RANK.EQ($AA9,$AA$4:$AA$23,0),IF(ISNUMBER($X9),RANK.EQ($X9,$X$4:$X$23,0),"")),"")</x:f>
      </x:c>
      <x:c r="C9" s="41"/>
      <x:c r="D9" s="41"/>
      <x:c r="E9" s="36"/>
      <x:c r="F9" s="41"/>
      <x:c r="G9" s="36"/>
      <x:c r="H9" s="36"/>
      <x:c r="I9" s="36"/>
      <x:c r="J9" s="36"/>
      <x:c r="K9" s="36"/>
      <x:c r="L9" s="36"/>
      <x:c r="M9" s="36"/>
      <x:c r="N9" s="36"/>
      <x:c r="O9" s="36"/>
      <x:c r="P9" s="36"/>
      <x:c r="Q9" s="36"/>
      <x:c r="R9" s="47"/>
      <x:c r="S9" s="47"/>
      <x:c r="T9" s="47"/>
      <x:c r="U9" s="47"/>
      <x:c r="V9" s="47"/>
      <x:c r="W9" s="47"/>
      <x:c r="X9" s="53" t="str">
        <x:f>IF(AND($A9="严格",$H9="严格",$I9="严格",COUNT($R9:$W9)=6,SUM('任务说明'!$O$14:$O$19)=100),($R9*'任务说明'!$O$14+$S9*'任务说明'!$O$15+$T9*'任务说明'!$O$16+$U9*'任务说明'!$O$17+$V9*'任务说明'!$O$18+$W9*'任务说明'!$O$19)/100,"")</x:f>
      </x:c>
      <x:c r="Y9" s="47"/>
      <x:c r="Z9" s="47"/>
      <x:c r="AA9" s="47"/>
      <x:c r="AB9" s="36"/>
      <x:c r="AC9" s="56"/>
      <x:c r="AD9" s="36"/>
      <x:c r="AE9" s="36"/>
      <x:c r="AF9" s="36"/>
    </x:row>
    <x:row r="10" ht="30" customHeight="1">
      <x:c r="A10" s="36"/>
      <x:c r="B10" s="37" t="str">
        <x:f>IF($A10="严格",IF(ISNUMBER($AA10),RANK.EQ($AA10,$AA$4:$AA$23,0),IF(ISNUMBER($X10),RANK.EQ($X10,$X$4:$X$23,0),"")),"")</x:f>
      </x:c>
      <x:c r="C10" s="41"/>
      <x:c r="D10" s="41"/>
      <x:c r="E10" s="36"/>
      <x:c r="F10" s="41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  <x:c r="Q10" s="36"/>
      <x:c r="R10" s="47"/>
      <x:c r="S10" s="47"/>
      <x:c r="T10" s="47"/>
      <x:c r="U10" s="47"/>
      <x:c r="V10" s="47"/>
      <x:c r="W10" s="47"/>
      <x:c r="X10" s="53" t="str">
        <x:f>IF(AND($A10="严格",$H10="严格",$I10="严格",COUNT($R10:$W10)=6,SUM('任务说明'!$O$14:$O$19)=100),($R10*'任务说明'!$O$14+$S10*'任务说明'!$O$15+$T10*'任务说明'!$O$16+$U10*'任务说明'!$O$17+$V10*'任务说明'!$O$18+$W10*'任务说明'!$O$19)/100,"")</x:f>
      </x:c>
      <x:c r="Y10" s="47"/>
      <x:c r="Z10" s="47"/>
      <x:c r="AA10" s="47"/>
      <x:c r="AB10" s="36"/>
      <x:c r="AC10" s="56"/>
      <x:c r="AD10" s="36"/>
      <x:c r="AE10" s="36"/>
      <x:c r="AF10" s="36"/>
    </x:row>
    <x:row r="11" ht="30" customHeight="1">
      <x:c r="A11" s="36"/>
      <x:c r="B11" s="37" t="str">
        <x:f>IF($A11="严格",IF(ISNUMBER($AA11),RANK.EQ($AA11,$AA$4:$AA$23,0),IF(ISNUMBER($X11),RANK.EQ($X11,$X$4:$X$23,0),"")),"")</x:f>
      </x:c>
      <x:c r="C11" s="41"/>
      <x:c r="D11" s="41"/>
      <x:c r="E11" s="36"/>
      <x:c r="F11" s="41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  <x:c r="Q11" s="36"/>
      <x:c r="R11" s="47"/>
      <x:c r="S11" s="47"/>
      <x:c r="T11" s="47"/>
      <x:c r="U11" s="47"/>
      <x:c r="V11" s="47"/>
      <x:c r="W11" s="47"/>
      <x:c r="X11" s="53" t="str">
        <x:f>IF(AND($A11="严格",$H11="严格",$I11="严格",COUNT($R11:$W11)=6,SUM('任务说明'!$O$14:$O$19)=100),($R11*'任务说明'!$O$14+$S11*'任务说明'!$O$15+$T11*'任务说明'!$O$16+$U11*'任务说明'!$O$17+$V11*'任务说明'!$O$18+$W11*'任务说明'!$O$19)/100,"")</x:f>
      </x:c>
      <x:c r="Y11" s="47"/>
      <x:c r="Z11" s="47"/>
      <x:c r="AA11" s="47"/>
      <x:c r="AB11" s="36"/>
      <x:c r="AC11" s="56"/>
      <x:c r="AD11" s="36"/>
      <x:c r="AE11" s="36"/>
      <x:c r="AF11" s="36"/>
    </x:row>
    <x:row r="12" ht="30" customHeight="1">
      <x:c r="A12" s="36"/>
      <x:c r="B12" s="37" t="str">
        <x:f>IF($A12="严格",IF(ISNUMBER($AA12),RANK.EQ($AA12,$AA$4:$AA$23,0),IF(ISNUMBER($X12),RANK.EQ($X12,$X$4:$X$23,0),"")),"")</x:f>
      </x:c>
      <x:c r="C12" s="41"/>
      <x:c r="D12" s="41"/>
      <x:c r="E12" s="36"/>
      <x:c r="F12" s="41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  <x:c r="Q12" s="36"/>
      <x:c r="R12" s="47"/>
      <x:c r="S12" s="47"/>
      <x:c r="T12" s="47"/>
      <x:c r="U12" s="47"/>
      <x:c r="V12" s="47"/>
      <x:c r="W12" s="47"/>
      <x:c r="X12" s="53" t="str">
        <x:f>IF(AND($A12="严格",$H12="严格",$I12="严格",COUNT($R12:$W12)=6,SUM('任务说明'!$O$14:$O$19)=100),($R12*'任务说明'!$O$14+$S12*'任务说明'!$O$15+$T12*'任务说明'!$O$16+$U12*'任务说明'!$O$17+$V12*'任务说明'!$O$18+$W12*'任务说明'!$O$19)/100,"")</x:f>
      </x:c>
      <x:c r="Y12" s="47"/>
      <x:c r="Z12" s="47"/>
      <x:c r="AA12" s="47"/>
      <x:c r="AB12" s="36"/>
      <x:c r="AC12" s="56"/>
      <x:c r="AD12" s="36"/>
      <x:c r="AE12" s="36"/>
      <x:c r="AF12" s="36"/>
    </x:row>
    <x:row r="13" ht="30" customHeight="1">
      <x:c r="A13" s="36"/>
      <x:c r="B13" s="37" t="str">
        <x:f>IF($A13="严格",IF(ISNUMBER($AA13),RANK.EQ($AA13,$AA$4:$AA$23,0),IF(ISNUMBER($X13),RANK.EQ($X13,$X$4:$X$23,0),"")),"")</x:f>
      </x:c>
      <x:c r="C13" s="41"/>
      <x:c r="D13" s="41"/>
      <x:c r="E13" s="36"/>
      <x:c r="F13" s="41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  <x:c r="Q13" s="36"/>
      <x:c r="R13" s="47"/>
      <x:c r="S13" s="47"/>
      <x:c r="T13" s="47"/>
      <x:c r="U13" s="47"/>
      <x:c r="V13" s="47"/>
      <x:c r="W13" s="47"/>
      <x:c r="X13" s="53" t="str">
        <x:f>IF(AND($A13="严格",$H13="严格",$I13="严格",COUNT($R13:$W13)=6,SUM('任务说明'!$O$14:$O$19)=100),($R13*'任务说明'!$O$14+$S13*'任务说明'!$O$15+$T13*'任务说明'!$O$16+$U13*'任务说明'!$O$17+$V13*'任务说明'!$O$18+$W13*'任务说明'!$O$19)/100,"")</x:f>
      </x:c>
      <x:c r="Y13" s="47"/>
      <x:c r="Z13" s="47"/>
      <x:c r="AA13" s="47"/>
      <x:c r="AB13" s="36"/>
      <x:c r="AC13" s="56"/>
      <x:c r="AD13" s="36"/>
      <x:c r="AE13" s="36"/>
      <x:c r="AF13" s="36"/>
    </x:row>
    <x:row r="14" ht="30" customHeight="1">
      <x:c r="A14" s="36"/>
      <x:c r="B14" s="37" t="str">
        <x:f>IF($A14="严格",IF(ISNUMBER($AA14),RANK.EQ($AA14,$AA$4:$AA$23,0),IF(ISNUMBER($X14),RANK.EQ($X14,$X$4:$X$23,0),"")),"")</x:f>
      </x:c>
      <x:c r="C14" s="41"/>
      <x:c r="D14" s="41"/>
      <x:c r="E14" s="36"/>
      <x:c r="F14" s="41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  <x:c r="Q14" s="36"/>
      <x:c r="R14" s="47"/>
      <x:c r="S14" s="47"/>
      <x:c r="T14" s="47"/>
      <x:c r="U14" s="47"/>
      <x:c r="V14" s="47"/>
      <x:c r="W14" s="47"/>
      <x:c r="X14" s="53" t="str">
        <x:f>IF(AND($A14="严格",$H14="严格",$I14="严格",COUNT($R14:$W14)=6,SUM('任务说明'!$O$14:$O$19)=100),($R14*'任务说明'!$O$14+$S14*'任务说明'!$O$15+$T14*'任务说明'!$O$16+$U14*'任务说明'!$O$17+$V14*'任务说明'!$O$18+$W14*'任务说明'!$O$19)/100,"")</x:f>
      </x:c>
      <x:c r="Y14" s="47"/>
      <x:c r="Z14" s="47"/>
      <x:c r="AA14" s="47"/>
      <x:c r="AB14" s="36"/>
      <x:c r="AC14" s="56"/>
      <x:c r="AD14" s="36"/>
      <x:c r="AE14" s="36"/>
      <x:c r="AF14" s="36"/>
    </x:row>
    <x:row r="15" ht="30" customHeight="1">
      <x:c r="A15" s="36"/>
      <x:c r="B15" s="37" t="str">
        <x:f>IF($A15="严格",IF(ISNUMBER($AA15),RANK.EQ($AA15,$AA$4:$AA$23,0),IF(ISNUMBER($X15),RANK.EQ($X15,$X$4:$X$23,0),"")),"")</x:f>
      </x:c>
      <x:c r="C15" s="41"/>
      <x:c r="D15" s="41"/>
      <x:c r="E15" s="36"/>
      <x:c r="F15" s="41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  <x:c r="Q15" s="36"/>
      <x:c r="R15" s="47"/>
      <x:c r="S15" s="47"/>
      <x:c r="T15" s="47"/>
      <x:c r="U15" s="47"/>
      <x:c r="V15" s="47"/>
      <x:c r="W15" s="47"/>
      <x:c r="X15" s="53" t="str">
        <x:f>IF(AND($A15="严格",$H15="严格",$I15="严格",COUNT($R15:$W15)=6,SUM('任务说明'!$O$14:$O$19)=100),($R15*'任务说明'!$O$14+$S15*'任务说明'!$O$15+$T15*'任务说明'!$O$16+$U15*'任务说明'!$O$17+$V15*'任务说明'!$O$18+$W15*'任务说明'!$O$19)/100,"")</x:f>
      </x:c>
      <x:c r="Y15" s="47"/>
      <x:c r="Z15" s="47"/>
      <x:c r="AA15" s="47"/>
      <x:c r="AB15" s="36"/>
      <x:c r="AC15" s="56"/>
      <x:c r="AD15" s="36"/>
      <x:c r="AE15" s="36"/>
      <x:c r="AF15" s="36"/>
    </x:row>
    <x:row r="16" ht="30" customHeight="1">
      <x:c r="A16" s="36"/>
      <x:c r="B16" s="37" t="str">
        <x:f>IF($A16="严格",IF(ISNUMBER($AA16),RANK.EQ($AA16,$AA$4:$AA$23,0),IF(ISNUMBER($X16),RANK.EQ($X16,$X$4:$X$23,0),"")),"")</x:f>
      </x:c>
      <x:c r="C16" s="41"/>
      <x:c r="D16" s="41"/>
      <x:c r="E16" s="36"/>
      <x:c r="F16" s="41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  <x:c r="Q16" s="36"/>
      <x:c r="R16" s="47"/>
      <x:c r="S16" s="47"/>
      <x:c r="T16" s="47"/>
      <x:c r="U16" s="47"/>
      <x:c r="V16" s="47"/>
      <x:c r="W16" s="47"/>
      <x:c r="X16" s="53" t="str">
        <x:f>IF(AND($A16="严格",$H16="严格",$I16="严格",COUNT($R16:$W16)=6,SUM('任务说明'!$O$14:$O$19)=100),($R16*'任务说明'!$O$14+$S16*'任务说明'!$O$15+$T16*'任务说明'!$O$16+$U16*'任务说明'!$O$17+$V16*'任务说明'!$O$18+$W16*'任务说明'!$O$19)/100,"")</x:f>
      </x:c>
      <x:c r="Y16" s="47"/>
      <x:c r="Z16" s="47"/>
      <x:c r="AA16" s="47"/>
      <x:c r="AB16" s="36"/>
      <x:c r="AC16" s="56"/>
      <x:c r="AD16" s="36"/>
      <x:c r="AE16" s="36"/>
      <x:c r="AF16" s="36"/>
    </x:row>
    <x:row r="17" ht="30" customHeight="1">
      <x:c r="A17" s="36"/>
      <x:c r="B17" s="37" t="str">
        <x:f>IF($A17="严格",IF(ISNUMBER($AA17),RANK.EQ($AA17,$AA$4:$AA$23,0),IF(ISNUMBER($X17),RANK.EQ($X17,$X$4:$X$23,0),"")),"")</x:f>
      </x:c>
      <x:c r="C17" s="41"/>
      <x:c r="D17" s="41"/>
      <x:c r="E17" s="36"/>
      <x:c r="F17" s="41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  <x:c r="Q17" s="36"/>
      <x:c r="R17" s="47"/>
      <x:c r="S17" s="47"/>
      <x:c r="T17" s="47"/>
      <x:c r="U17" s="47"/>
      <x:c r="V17" s="47"/>
      <x:c r="W17" s="47"/>
      <x:c r="X17" s="53" t="str">
        <x:f>IF(AND($A17="严格",$H17="严格",$I17="严格",COUNT($R17:$W17)=6,SUM('任务说明'!$O$14:$O$19)=100),($R17*'任务说明'!$O$14+$S17*'任务说明'!$O$15+$T17*'任务说明'!$O$16+$U17*'任务说明'!$O$17+$V17*'任务说明'!$O$18+$W17*'任务说明'!$O$19)/100,"")</x:f>
      </x:c>
      <x:c r="Y17" s="47"/>
      <x:c r="Z17" s="47"/>
      <x:c r="AA17" s="47"/>
      <x:c r="AB17" s="36"/>
      <x:c r="AC17" s="56"/>
      <x:c r="AD17" s="36"/>
      <x:c r="AE17" s="36"/>
      <x:c r="AF17" s="36"/>
    </x:row>
    <x:row r="18" ht="30" customHeight="1">
      <x:c r="A18" s="36"/>
      <x:c r="B18" s="37" t="str">
        <x:f>IF($A18="严格",IF(ISNUMBER($AA18),RANK.EQ($AA18,$AA$4:$AA$23,0),IF(ISNUMBER($X18),RANK.EQ($X18,$X$4:$X$23,0),"")),"")</x:f>
      </x:c>
      <x:c r="C18" s="41"/>
      <x:c r="D18" s="41"/>
      <x:c r="E18" s="36"/>
      <x:c r="F18" s="41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  <x:c r="Q18" s="36"/>
      <x:c r="R18" s="47"/>
      <x:c r="S18" s="47"/>
      <x:c r="T18" s="47"/>
      <x:c r="U18" s="47"/>
      <x:c r="V18" s="47"/>
      <x:c r="W18" s="47"/>
      <x:c r="X18" s="53" t="str">
        <x:f>IF(AND($A18="严格",$H18="严格",$I18="严格",COUNT($R18:$W18)=6,SUM('任务说明'!$O$14:$O$19)=100),($R18*'任务说明'!$O$14+$S18*'任务说明'!$O$15+$T18*'任务说明'!$O$16+$U18*'任务说明'!$O$17+$V18*'任务说明'!$O$18+$W18*'任务说明'!$O$19)/100,"")</x:f>
      </x:c>
      <x:c r="Y18" s="47"/>
      <x:c r="Z18" s="47"/>
      <x:c r="AA18" s="47"/>
      <x:c r="AB18" s="36"/>
      <x:c r="AC18" s="56"/>
      <x:c r="AD18" s="36"/>
      <x:c r="AE18" s="36"/>
      <x:c r="AF18" s="36"/>
    </x:row>
    <x:row r="19" ht="30" customHeight="1">
      <x:c r="A19" s="36"/>
      <x:c r="B19" s="37" t="str">
        <x:f>IF($A19="严格",IF(ISNUMBER($AA19),RANK.EQ($AA19,$AA$4:$AA$23,0),IF(ISNUMBER($X19),RANK.EQ($X19,$X$4:$X$23,0),"")),"")</x:f>
      </x:c>
      <x:c r="C19" s="41"/>
      <x:c r="D19" s="41"/>
      <x:c r="E19" s="36"/>
      <x:c r="F19" s="41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  <x:c r="Q19" s="36"/>
      <x:c r="R19" s="47"/>
      <x:c r="S19" s="47"/>
      <x:c r="T19" s="47"/>
      <x:c r="U19" s="47"/>
      <x:c r="V19" s="47"/>
      <x:c r="W19" s="47"/>
      <x:c r="X19" s="53" t="str">
        <x:f>IF(AND($A19="严格",$H19="严格",$I19="严格",COUNT($R19:$W19)=6,SUM('任务说明'!$O$14:$O$19)=100),($R19*'任务说明'!$O$14+$S19*'任务说明'!$O$15+$T19*'任务说明'!$O$16+$U19*'任务说明'!$O$17+$V19*'任务说明'!$O$18+$W19*'任务说明'!$O$19)/100,"")</x:f>
      </x:c>
      <x:c r="Y19" s="47"/>
      <x:c r="Z19" s="47"/>
      <x:c r="AA19" s="47"/>
      <x:c r="AB19" s="36"/>
      <x:c r="AC19" s="56"/>
      <x:c r="AD19" s="36"/>
      <x:c r="AE19" s="36"/>
      <x:c r="AF19" s="36"/>
    </x:row>
    <x:row r="20" ht="30" customHeight="1">
      <x:c r="A20" s="36"/>
      <x:c r="B20" s="37" t="str">
        <x:f>IF($A20="严格",IF(ISNUMBER($AA20),RANK.EQ($AA20,$AA$4:$AA$23,0),IF(ISNUMBER($X20),RANK.EQ($X20,$X$4:$X$23,0),"")),"")</x:f>
      </x:c>
      <x:c r="C20" s="41"/>
      <x:c r="D20" s="41"/>
      <x:c r="E20" s="36"/>
      <x:c r="F20" s="41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  <x:c r="Q20" s="36"/>
      <x:c r="R20" s="47"/>
      <x:c r="S20" s="47"/>
      <x:c r="T20" s="47"/>
      <x:c r="U20" s="47"/>
      <x:c r="V20" s="47"/>
      <x:c r="W20" s="47"/>
      <x:c r="X20" s="53" t="str">
        <x:f>IF(AND($A20="严格",$H20="严格",$I20="严格",COUNT($R20:$W20)=6,SUM('任务说明'!$O$14:$O$19)=100),($R20*'任务说明'!$O$14+$S20*'任务说明'!$O$15+$T20*'任务说明'!$O$16+$U20*'任务说明'!$O$17+$V20*'任务说明'!$O$18+$W20*'任务说明'!$O$19)/100,"")</x:f>
      </x:c>
      <x:c r="Y20" s="47"/>
      <x:c r="Z20" s="47"/>
      <x:c r="AA20" s="47"/>
      <x:c r="AB20" s="36"/>
      <x:c r="AC20" s="56"/>
      <x:c r="AD20" s="36"/>
      <x:c r="AE20" s="36"/>
      <x:c r="AF20" s="36"/>
    </x:row>
    <x:row r="21" ht="30" customHeight="1">
      <x:c r="A21" s="36"/>
      <x:c r="B21" s="37" t="str">
        <x:f>IF($A21="严格",IF(ISNUMBER($AA21),RANK.EQ($AA21,$AA$4:$AA$23,0),IF(ISNUMBER($X21),RANK.EQ($X21,$X$4:$X$23,0),"")),"")</x:f>
      </x:c>
      <x:c r="C21" s="41"/>
      <x:c r="D21" s="41"/>
      <x:c r="E21" s="36"/>
      <x:c r="F21" s="41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  <x:c r="Q21" s="36"/>
      <x:c r="R21" s="47"/>
      <x:c r="S21" s="47"/>
      <x:c r="T21" s="47"/>
      <x:c r="U21" s="47"/>
      <x:c r="V21" s="47"/>
      <x:c r="W21" s="47"/>
      <x:c r="X21" s="53" t="str">
        <x:f>IF(AND($A21="严格",$H21="严格",$I21="严格",COUNT($R21:$W21)=6,SUM('任务说明'!$O$14:$O$19)=100),($R21*'任务说明'!$O$14+$S21*'任务说明'!$O$15+$T21*'任务说明'!$O$16+$U21*'任务说明'!$O$17+$V21*'任务说明'!$O$18+$W21*'任务说明'!$O$19)/100,"")</x:f>
      </x:c>
      <x:c r="Y21" s="47"/>
      <x:c r="Z21" s="47"/>
      <x:c r="AA21" s="47"/>
      <x:c r="AB21" s="36"/>
      <x:c r="AC21" s="56"/>
      <x:c r="AD21" s="36"/>
      <x:c r="AE21" s="36"/>
      <x:c r="AF21" s="36"/>
    </x:row>
    <x:row r="22" ht="30" customHeight="1">
      <x:c r="A22" s="36"/>
      <x:c r="B22" s="37" t="str">
        <x:f>IF($A22="严格",IF(ISNUMBER($AA22),RANK.EQ($AA22,$AA$4:$AA$23,0),IF(ISNUMBER($X22),RANK.EQ($X22,$X$4:$X$23,0),"")),"")</x:f>
      </x:c>
      <x:c r="C22" s="41"/>
      <x:c r="D22" s="41"/>
      <x:c r="E22" s="36"/>
      <x:c r="F22" s="41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  <x:c r="Q22" s="36"/>
      <x:c r="R22" s="47"/>
      <x:c r="S22" s="47"/>
      <x:c r="T22" s="47"/>
      <x:c r="U22" s="47"/>
      <x:c r="V22" s="47"/>
      <x:c r="W22" s="47"/>
      <x:c r="X22" s="53" t="str">
        <x:f>IF(AND($A22="严格",$H22="严格",$I22="严格",COUNT($R22:$W22)=6,SUM('任务说明'!$O$14:$O$19)=100),($R22*'任务说明'!$O$14+$S22*'任务说明'!$O$15+$T22*'任务说明'!$O$16+$U22*'任务说明'!$O$17+$V22*'任务说明'!$O$18+$W22*'任务说明'!$O$19)/100,"")</x:f>
      </x:c>
      <x:c r="Y22" s="47"/>
      <x:c r="Z22" s="47"/>
      <x:c r="AA22" s="47"/>
      <x:c r="AB22" s="36"/>
      <x:c r="AC22" s="56"/>
      <x:c r="AD22" s="36"/>
      <x:c r="AE22" s="36"/>
      <x:c r="AF22" s="36"/>
    </x:row>
    <x:row r="23" ht="30" customHeight="1">
      <x:c r="A23" s="38"/>
      <x:c r="B23" s="39" t="str">
        <x:f>IF($A23="严格",IF(ISNUMBER($AA23),RANK.EQ($AA23,$AA$4:$AA$23,0),IF(ISNUMBER($X23),RANK.EQ($X23,$X$4:$X$23,0),"")),"")</x:f>
      </x:c>
      <x:c r="C23" s="42"/>
      <x:c r="D23" s="42"/>
      <x:c r="E23" s="38"/>
      <x:c r="F23" s="42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48"/>
      <x:c r="S23" s="48"/>
      <x:c r="T23" s="48"/>
      <x:c r="U23" s="48"/>
      <x:c r="V23" s="48"/>
      <x:c r="W23" s="48"/>
      <x:c r="X23" s="54" t="str">
        <x:f>IF(AND($A23="严格",$H23="严格",$I23="严格",COUNT($R23:$W23)=6,SUM('任务说明'!$O$14:$O$19)=100),($R23*'任务说明'!$O$14+$S23*'任务说明'!$O$15+$T23*'任务说明'!$O$16+$U23*'任务说明'!$O$17+$V23*'任务说明'!$O$18+$W23*'任务说明'!$O$19)/100,"")</x:f>
      </x:c>
      <x:c r="Y23" s="48"/>
      <x:c r="Z23" s="48"/>
      <x:c r="AA23" s="48"/>
      <x:c r="AB23" s="38"/>
      <x:c r="AC23" s="57"/>
      <x:c r="AD23" s="38"/>
      <x:c r="AE23" s="38"/>
      <x:c r="AF23" s="38"/>
    </x:row>
  </x:sheetData>
  <x:mergeCells>
    <x:mergeCell ref="A1:AF1"/>
    <x:mergeCell ref="A2:AF2"/>
  </x:mergeCells>
  <x:conditionalFormatting sqref="A4:A23">
    <x:cfRule type="containsText" dxfId="6" priority="1" operator="containsText" text="严格"/>
    <x:cfRule type="containsText" dxfId="7" priority="2" operator="containsText" text="待核验"/>
    <x:cfRule type="containsText" dxfId="8" priority="3" operator="containsText" text="淘汰"/>
  </x:conditionalFormatting>
  <x:dataValidations count="10">
    <x:dataValidation type="list" sqref="A4:A23">
      <x:formula1>"严格,待核验,淘汰"</x:formula1>
    </x:dataValidation>
    <x:dataValidation type="list" sqref="H4:I23">
      <x:formula1>"严格,待核验,淘汰"</x:formula1>
    </x:dataValidation>
    <x:dataValidation type="list" sqref="J4:J23">
      <x:formula1>"通过,失败,待核验"</x:formula1>
    </x:dataValidation>
    <x:dataValidation type="list" sqref="K4:K23">
      <x:formula1>"通过,失败,待核验"</x:formula1>
    </x:dataValidation>
    <x:dataValidation type="list" sqref="L4:L23">
      <x:formula1>"通过,失败,待核验"</x:formula1>
    </x:dataValidation>
    <x:dataValidation type="list" sqref="M4:M23">
      <x:formula1>"通过,失败,待核验"</x:formula1>
    </x:dataValidation>
    <x:dataValidation type="list" sqref="N4:N23">
      <x:formula1>"通过,失败,待核验"</x:formula1>
    </x:dataValidation>
    <x:dataValidation type="list" sqref="O4:O23">
      <x:formula1>"通过,失败,待核验"</x:formula1>
    </x:dataValidation>
    <x:dataValidation type="list" sqref="P4:P23">
      <x:formula1>"通过,失败,待核验"</x:formula1>
    </x:dataValidation>
    <x:dataValidation type="list" sqref="AD4:AD23">
      <x:formula1>"高,中,低,缺失"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fd1c3bf34b437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" hidden="0" customWidth="1"/>
    <x:col min="3" max="3" width="18" hidden="0" customWidth="1"/>
    <x:col min="4" max="4" width="14" hidden="0" customWidth="1"/>
    <x:col min="5" max="5" width="16" hidden="0" customWidth="1"/>
    <x:col min="6" max="6" width="30" hidden="0" customWidth="1"/>
    <x:col min="7" max="7" width="22" hidden="0" customWidth="1"/>
    <x:col min="8" max="8" width="22" hidden="0" customWidth="1"/>
    <x:col min="9" max="9" width="13" hidden="0" customWidth="1"/>
    <x:col min="10" max="10" width="13" hidden="0" customWidth="1"/>
    <x:col min="11" max="11" width="13" hidden="0" customWidth="1"/>
    <x:col min="12" max="12" width="12" hidden="0" customWidth="1"/>
    <x:col min="13" max="13" width="28" hidden="0" customWidth="1"/>
    <x:col min="14" max="14" width="24" hidden="0" customWidth="1"/>
    <x:col min="15" max="15" width="22" hidden="0" customWidth="1"/>
    <x:col min="16" max="16" width="18" hidden="0" customWidth="1"/>
    <x:col min="17" max="17" width="18" hidden="0" customWidth="1"/>
  </x:cols>
  <x:sheetData>
    <x:row r="1" ht="30" customHeight="1">
      <x:c r="A1" s="3" t="str">
        <x:v>严格结果</x:v>
      </x:c>
      <x:c r="B1" s="3" t="str">
        <x:v>严格结果</x:v>
      </x:c>
      <x:c r="C1" s="3" t="str">
        <x:v>严格结果</x:v>
      </x:c>
      <x:c r="D1" s="3" t="str">
        <x:v>严格结果</x:v>
      </x:c>
      <x:c r="E1" s="3" t="str">
        <x:v>严格结果</x:v>
      </x:c>
      <x:c r="F1" s="3" t="str">
        <x:v>严格结果</x:v>
      </x:c>
      <x:c r="G1" s="3" t="str">
        <x:v>严格结果</x:v>
      </x:c>
      <x:c r="H1" s="3" t="str">
        <x:v>严格结果</x:v>
      </x:c>
      <x:c r="I1" s="3" t="str">
        <x:v>严格结果</x:v>
      </x:c>
      <x:c r="J1" s="3" t="str">
        <x:v>严格结果</x:v>
      </x:c>
      <x:c r="K1" s="3" t="str">
        <x:v>严格结果</x:v>
      </x:c>
      <x:c r="L1" s="3" t="str">
        <x:v>严格结果</x:v>
      </x:c>
      <x:c r="M1" s="3" t="str">
        <x:v>严格结果</x:v>
      </x:c>
      <x:c r="N1" s="3" t="str">
        <x:v>严格结果</x:v>
      </x:c>
      <x:c r="O1" s="3" t="str">
        <x:v>严格结果</x:v>
      </x:c>
      <x:c r="P1" s="3" t="str">
        <x:v>严格结果</x:v>
      </x:c>
      <x:c r="Q1" s="3" t="str">
        <x:v>严格结果</x:v>
      </x:c>
    </x:row>
    <x:row r="2" ht="34" customHeight="1">
      <x:c r="A2" s="7" t="str">
        <x:v>仅复制或生成已经通过全部硬门槛的产品或配对。严格数量不足时保持不足，不得用待核验项补齐。</x:v>
      </x:c>
      <x:c r="B2" s="7" t="str">
        <x:v>仅复制或生成已经通过全部硬门槛的产品或配对。严格数量不足时保持不足，不得用待核验项补齐。</x:v>
      </x:c>
      <x:c r="C2" s="7" t="str">
        <x:v>仅复制或生成已经通过全部硬门槛的产品或配对。严格数量不足时保持不足，不得用待核验项补齐。</x:v>
      </x:c>
      <x:c r="D2" s="7" t="str">
        <x:v>仅复制或生成已经通过全部硬门槛的产品或配对。严格数量不足时保持不足，不得用待核验项补齐。</x:v>
      </x:c>
      <x:c r="E2" s="7" t="str">
        <x:v>仅复制或生成已经通过全部硬门槛的产品或配对。严格数量不足时保持不足，不得用待核验项补齐。</x:v>
      </x:c>
      <x:c r="F2" s="7" t="str">
        <x:v>仅复制或生成已经通过全部硬门槛的产品或配对。严格数量不足时保持不足，不得用待核验项补齐。</x:v>
      </x:c>
      <x:c r="G2" s="7" t="str">
        <x:v>仅复制或生成已经通过全部硬门槛的产品或配对。严格数量不足时保持不足，不得用待核验项补齐。</x:v>
      </x:c>
      <x:c r="H2" s="7" t="str">
        <x:v>仅复制或生成已经通过全部硬门槛的产品或配对。严格数量不足时保持不足，不得用待核验项补齐。</x:v>
      </x:c>
      <x:c r="I2" s="7" t="str">
        <x:v>仅复制或生成已经通过全部硬门槛的产品或配对。严格数量不足时保持不足，不得用待核验项补齐。</x:v>
      </x:c>
      <x:c r="J2" s="7" t="str">
        <x:v>仅复制或生成已经通过全部硬门槛的产品或配对。严格数量不足时保持不足，不得用待核验项补齐。</x:v>
      </x:c>
      <x:c r="K2" s="7" t="str">
        <x:v>仅复制或生成已经通过全部硬门槛的产品或配对。严格数量不足时保持不足，不得用待核验项补齐。</x:v>
      </x:c>
      <x:c r="L2" s="7" t="str">
        <x:v>仅复制或生成已经通过全部硬门槛的产品或配对。严格数量不足时保持不足，不得用待核验项补齐。</x:v>
      </x:c>
      <x:c r="M2" s="7" t="str">
        <x:v>仅复制或生成已经通过全部硬门槛的产品或配对。严格数量不足时保持不足，不得用待核验项补齐。</x:v>
      </x:c>
      <x:c r="N2" s="7" t="str">
        <x:v>仅复制或生成已经通过全部硬门槛的产品或配对。严格数量不足时保持不足，不得用待核验项补齐。</x:v>
      </x:c>
      <x:c r="O2" s="7" t="str">
        <x:v>仅复制或生成已经通过全部硬门槛的产品或配对。严格数量不足时保持不足，不得用待核验项补齐。</x:v>
      </x:c>
      <x:c r="P2" s="7" t="str">
        <x:v>仅复制或生成已经通过全部硬门槛的产品或配对。严格数量不足时保持不足，不得用待核验项补齐。</x:v>
      </x:c>
      <x:c r="Q2" s="7" t="str">
        <x:v>仅复制或生成已经通过全部硬门槛的产品或配对。严格数量不足时保持不足，不得用待核验项补齐。</x:v>
      </x:c>
    </x:row>
    <x:row r="3" ht="42" customHeight="1">
      <x:c r="A3" s="27" t="str">
        <x:v>模式</x:v>
      </x:c>
      <x:c r="B3" s="28" t="str">
        <x:v>排名</x:v>
      </x:c>
      <x:c r="C3" s="28" t="str">
        <x:v>记录/配对ID</x:v>
      </x:c>
      <x:c r="D3" s="28" t="str">
        <x:v>Amazon ASIN</x:v>
      </x:c>
      <x:c r="E3" s="28" t="str">
        <x:v>1688商品ID</x:v>
      </x:c>
      <x:c r="F3" s="28" t="str">
        <x:v>标题/配对说明</x:v>
      </x:c>
      <x:c r="G3" s="28" t="str">
        <x:v>Amazon链接</x:v>
      </x:c>
      <x:c r="H3" s="28" t="str">
        <x:v>1688链接</x:v>
      </x:c>
      <x:c r="I3" s="28" t="str">
        <x:v>市场机会分</x:v>
      </x:c>
      <x:c r="J3" s="28" t="str">
        <x:v>供应能力分</x:v>
      </x:c>
      <x:c r="K3" s="28" t="str">
        <x:v>匹配质量分</x:v>
      </x:c>
      <x:c r="L3" s="28" t="str">
        <x:v>最终分</x:v>
      </x:c>
      <x:c r="M3" s="28" t="str">
        <x:v>核心通过证据</x:v>
      </x:c>
      <x:c r="N3" s="28" t="str">
        <x:v>主要限制</x:v>
      </x:c>
      <x:c r="O3" s="28" t="str">
        <x:v>来源链接</x:v>
      </x:c>
      <x:c r="P3" s="28" t="str">
        <x:v>决策日志引用</x:v>
      </x:c>
      <x:c r="Q3" s="29" t="str">
        <x:v>输出时间</x:v>
      </x:c>
    </x:row>
    <x:row r="4" ht="30" customHeight="1">
      <x:c r="A4" s="34"/>
      <x:c r="B4" s="34"/>
      <x:c r="C4" s="34"/>
      <x:c r="D4" s="40"/>
      <x:c r="E4" s="40"/>
      <x:c r="F4" s="34"/>
      <x:c r="G4" s="34"/>
      <x:c r="H4" s="34"/>
      <x:c r="I4" s="46"/>
      <x:c r="J4" s="46"/>
      <x:c r="K4" s="46"/>
      <x:c r="L4" s="46"/>
      <x:c r="M4" s="34"/>
      <x:c r="N4" s="34"/>
      <x:c r="O4" s="34"/>
      <x:c r="P4" s="34"/>
      <x:c r="Q4" s="55"/>
    </x:row>
    <x:row r="5" ht="30" customHeight="1">
      <x:c r="A5" s="36"/>
      <x:c r="B5" s="36"/>
      <x:c r="C5" s="36"/>
      <x:c r="D5" s="41"/>
      <x:c r="E5" s="41"/>
      <x:c r="F5" s="36"/>
      <x:c r="G5" s="36"/>
      <x:c r="H5" s="36"/>
      <x:c r="I5" s="47"/>
      <x:c r="J5" s="47"/>
      <x:c r="K5" s="47"/>
      <x:c r="L5" s="47"/>
      <x:c r="M5" s="36"/>
      <x:c r="N5" s="36"/>
      <x:c r="O5" s="36"/>
      <x:c r="P5" s="36"/>
      <x:c r="Q5" s="56"/>
    </x:row>
    <x:row r="6" ht="30" customHeight="1">
      <x:c r="A6" s="36"/>
      <x:c r="B6" s="36"/>
      <x:c r="C6" s="36"/>
      <x:c r="D6" s="41"/>
      <x:c r="E6" s="41"/>
      <x:c r="F6" s="36"/>
      <x:c r="G6" s="36"/>
      <x:c r="H6" s="36"/>
      <x:c r="I6" s="47"/>
      <x:c r="J6" s="47"/>
      <x:c r="K6" s="47"/>
      <x:c r="L6" s="47"/>
      <x:c r="M6" s="36"/>
      <x:c r="N6" s="36"/>
      <x:c r="O6" s="36"/>
      <x:c r="P6" s="36"/>
      <x:c r="Q6" s="56"/>
    </x:row>
    <x:row r="7" ht="30" customHeight="1">
      <x:c r="A7" s="36"/>
      <x:c r="B7" s="36"/>
      <x:c r="C7" s="36"/>
      <x:c r="D7" s="41"/>
      <x:c r="E7" s="41"/>
      <x:c r="F7" s="36"/>
      <x:c r="G7" s="36"/>
      <x:c r="H7" s="36"/>
      <x:c r="I7" s="47"/>
      <x:c r="J7" s="47"/>
      <x:c r="K7" s="47"/>
      <x:c r="L7" s="47"/>
      <x:c r="M7" s="36"/>
      <x:c r="N7" s="36"/>
      <x:c r="O7" s="36"/>
      <x:c r="P7" s="36"/>
      <x:c r="Q7" s="56"/>
    </x:row>
    <x:row r="8" ht="30" customHeight="1">
      <x:c r="A8" s="36"/>
      <x:c r="B8" s="36"/>
      <x:c r="C8" s="36"/>
      <x:c r="D8" s="41"/>
      <x:c r="E8" s="41"/>
      <x:c r="F8" s="36"/>
      <x:c r="G8" s="36"/>
      <x:c r="H8" s="36"/>
      <x:c r="I8" s="47"/>
      <x:c r="J8" s="47"/>
      <x:c r="K8" s="47"/>
      <x:c r="L8" s="47"/>
      <x:c r="M8" s="36"/>
      <x:c r="N8" s="36"/>
      <x:c r="O8" s="36"/>
      <x:c r="P8" s="36"/>
      <x:c r="Q8" s="56"/>
    </x:row>
    <x:row r="9" ht="30" customHeight="1">
      <x:c r="A9" s="36"/>
      <x:c r="B9" s="36"/>
      <x:c r="C9" s="36"/>
      <x:c r="D9" s="41"/>
      <x:c r="E9" s="41"/>
      <x:c r="F9" s="36"/>
      <x:c r="G9" s="36"/>
      <x:c r="H9" s="36"/>
      <x:c r="I9" s="47"/>
      <x:c r="J9" s="47"/>
      <x:c r="K9" s="47"/>
      <x:c r="L9" s="47"/>
      <x:c r="M9" s="36"/>
      <x:c r="N9" s="36"/>
      <x:c r="O9" s="36"/>
      <x:c r="P9" s="36"/>
      <x:c r="Q9" s="56"/>
    </x:row>
    <x:row r="10" ht="30" customHeight="1">
      <x:c r="A10" s="36"/>
      <x:c r="B10" s="36"/>
      <x:c r="C10" s="36"/>
      <x:c r="D10" s="41"/>
      <x:c r="E10" s="41"/>
      <x:c r="F10" s="36"/>
      <x:c r="G10" s="36"/>
      <x:c r="H10" s="36"/>
      <x:c r="I10" s="47"/>
      <x:c r="J10" s="47"/>
      <x:c r="K10" s="47"/>
      <x:c r="L10" s="47"/>
      <x:c r="M10" s="36"/>
      <x:c r="N10" s="36"/>
      <x:c r="O10" s="36"/>
      <x:c r="P10" s="36"/>
      <x:c r="Q10" s="56"/>
    </x:row>
    <x:row r="11" ht="30" customHeight="1">
      <x:c r="A11" s="36"/>
      <x:c r="B11" s="36"/>
      <x:c r="C11" s="36"/>
      <x:c r="D11" s="41"/>
      <x:c r="E11" s="41"/>
      <x:c r="F11" s="36"/>
      <x:c r="G11" s="36"/>
      <x:c r="H11" s="36"/>
      <x:c r="I11" s="47"/>
      <x:c r="J11" s="47"/>
      <x:c r="K11" s="47"/>
      <x:c r="L11" s="47"/>
      <x:c r="M11" s="36"/>
      <x:c r="N11" s="36"/>
      <x:c r="O11" s="36"/>
      <x:c r="P11" s="36"/>
      <x:c r="Q11" s="56"/>
    </x:row>
    <x:row r="12" ht="30" customHeight="1">
      <x:c r="A12" s="36"/>
      <x:c r="B12" s="36"/>
      <x:c r="C12" s="36"/>
      <x:c r="D12" s="41"/>
      <x:c r="E12" s="41"/>
      <x:c r="F12" s="36"/>
      <x:c r="G12" s="36"/>
      <x:c r="H12" s="36"/>
      <x:c r="I12" s="47"/>
      <x:c r="J12" s="47"/>
      <x:c r="K12" s="47"/>
      <x:c r="L12" s="47"/>
      <x:c r="M12" s="36"/>
      <x:c r="N12" s="36"/>
      <x:c r="O12" s="36"/>
      <x:c r="P12" s="36"/>
      <x:c r="Q12" s="56"/>
    </x:row>
    <x:row r="13" ht="30" customHeight="1">
      <x:c r="A13" s="36"/>
      <x:c r="B13" s="36"/>
      <x:c r="C13" s="36"/>
      <x:c r="D13" s="41"/>
      <x:c r="E13" s="41"/>
      <x:c r="F13" s="36"/>
      <x:c r="G13" s="36"/>
      <x:c r="H13" s="36"/>
      <x:c r="I13" s="47"/>
      <x:c r="J13" s="47"/>
      <x:c r="K13" s="47"/>
      <x:c r="L13" s="47"/>
      <x:c r="M13" s="36"/>
      <x:c r="N13" s="36"/>
      <x:c r="O13" s="36"/>
      <x:c r="P13" s="36"/>
      <x:c r="Q13" s="56"/>
    </x:row>
    <x:row r="14" ht="30" customHeight="1">
      <x:c r="A14" s="36"/>
      <x:c r="B14" s="36"/>
      <x:c r="C14" s="36"/>
      <x:c r="D14" s="41"/>
      <x:c r="E14" s="41"/>
      <x:c r="F14" s="36"/>
      <x:c r="G14" s="36"/>
      <x:c r="H14" s="36"/>
      <x:c r="I14" s="47"/>
      <x:c r="J14" s="47"/>
      <x:c r="K14" s="47"/>
      <x:c r="L14" s="47"/>
      <x:c r="M14" s="36"/>
      <x:c r="N14" s="36"/>
      <x:c r="O14" s="36"/>
      <x:c r="P14" s="36"/>
      <x:c r="Q14" s="56"/>
    </x:row>
    <x:row r="15" ht="30" customHeight="1">
      <x:c r="A15" s="36"/>
      <x:c r="B15" s="36"/>
      <x:c r="C15" s="36"/>
      <x:c r="D15" s="41"/>
      <x:c r="E15" s="41"/>
      <x:c r="F15" s="36"/>
      <x:c r="G15" s="36"/>
      <x:c r="H15" s="36"/>
      <x:c r="I15" s="47"/>
      <x:c r="J15" s="47"/>
      <x:c r="K15" s="47"/>
      <x:c r="L15" s="47"/>
      <x:c r="M15" s="36"/>
      <x:c r="N15" s="36"/>
      <x:c r="O15" s="36"/>
      <x:c r="P15" s="36"/>
      <x:c r="Q15" s="56"/>
    </x:row>
    <x:row r="16" ht="30" customHeight="1">
      <x:c r="A16" s="36"/>
      <x:c r="B16" s="36"/>
      <x:c r="C16" s="36"/>
      <x:c r="D16" s="41"/>
      <x:c r="E16" s="41"/>
      <x:c r="F16" s="36"/>
      <x:c r="G16" s="36"/>
      <x:c r="H16" s="36"/>
      <x:c r="I16" s="47"/>
      <x:c r="J16" s="47"/>
      <x:c r="K16" s="47"/>
      <x:c r="L16" s="47"/>
      <x:c r="M16" s="36"/>
      <x:c r="N16" s="36"/>
      <x:c r="O16" s="36"/>
      <x:c r="P16" s="36"/>
      <x:c r="Q16" s="56"/>
    </x:row>
    <x:row r="17" ht="30" customHeight="1">
      <x:c r="A17" s="36"/>
      <x:c r="B17" s="36"/>
      <x:c r="C17" s="36"/>
      <x:c r="D17" s="41"/>
      <x:c r="E17" s="41"/>
      <x:c r="F17" s="36"/>
      <x:c r="G17" s="36"/>
      <x:c r="H17" s="36"/>
      <x:c r="I17" s="47"/>
      <x:c r="J17" s="47"/>
      <x:c r="K17" s="47"/>
      <x:c r="L17" s="47"/>
      <x:c r="M17" s="36"/>
      <x:c r="N17" s="36"/>
      <x:c r="O17" s="36"/>
      <x:c r="P17" s="36"/>
      <x:c r="Q17" s="56"/>
    </x:row>
    <x:row r="18" ht="30" customHeight="1">
      <x:c r="A18" s="36"/>
      <x:c r="B18" s="36"/>
      <x:c r="C18" s="36"/>
      <x:c r="D18" s="41"/>
      <x:c r="E18" s="41"/>
      <x:c r="F18" s="36"/>
      <x:c r="G18" s="36"/>
      <x:c r="H18" s="36"/>
      <x:c r="I18" s="47"/>
      <x:c r="J18" s="47"/>
      <x:c r="K18" s="47"/>
      <x:c r="L18" s="47"/>
      <x:c r="M18" s="36"/>
      <x:c r="N18" s="36"/>
      <x:c r="O18" s="36"/>
      <x:c r="P18" s="36"/>
      <x:c r="Q18" s="56"/>
    </x:row>
    <x:row r="19" ht="30" customHeight="1">
      <x:c r="A19" s="36"/>
      <x:c r="B19" s="36"/>
      <x:c r="C19" s="36"/>
      <x:c r="D19" s="41"/>
      <x:c r="E19" s="41"/>
      <x:c r="F19" s="36"/>
      <x:c r="G19" s="36"/>
      <x:c r="H19" s="36"/>
      <x:c r="I19" s="47"/>
      <x:c r="J19" s="47"/>
      <x:c r="K19" s="47"/>
      <x:c r="L19" s="47"/>
      <x:c r="M19" s="36"/>
      <x:c r="N19" s="36"/>
      <x:c r="O19" s="36"/>
      <x:c r="P19" s="36"/>
      <x:c r="Q19" s="56"/>
    </x:row>
    <x:row r="20" ht="30" customHeight="1">
      <x:c r="A20" s="36"/>
      <x:c r="B20" s="36"/>
      <x:c r="C20" s="36"/>
      <x:c r="D20" s="41"/>
      <x:c r="E20" s="41"/>
      <x:c r="F20" s="36"/>
      <x:c r="G20" s="36"/>
      <x:c r="H20" s="36"/>
      <x:c r="I20" s="47"/>
      <x:c r="J20" s="47"/>
      <x:c r="K20" s="47"/>
      <x:c r="L20" s="47"/>
      <x:c r="M20" s="36"/>
      <x:c r="N20" s="36"/>
      <x:c r="O20" s="36"/>
      <x:c r="P20" s="36"/>
      <x:c r="Q20" s="56"/>
    </x:row>
    <x:row r="21" ht="30" customHeight="1">
      <x:c r="A21" s="36"/>
      <x:c r="B21" s="36"/>
      <x:c r="C21" s="36"/>
      <x:c r="D21" s="41"/>
      <x:c r="E21" s="41"/>
      <x:c r="F21" s="36"/>
      <x:c r="G21" s="36"/>
      <x:c r="H21" s="36"/>
      <x:c r="I21" s="47"/>
      <x:c r="J21" s="47"/>
      <x:c r="K21" s="47"/>
      <x:c r="L21" s="47"/>
      <x:c r="M21" s="36"/>
      <x:c r="N21" s="36"/>
      <x:c r="O21" s="36"/>
      <x:c r="P21" s="36"/>
      <x:c r="Q21" s="56"/>
    </x:row>
    <x:row r="22" ht="30" customHeight="1">
      <x:c r="A22" s="36"/>
      <x:c r="B22" s="36"/>
      <x:c r="C22" s="36"/>
      <x:c r="D22" s="41"/>
      <x:c r="E22" s="41"/>
      <x:c r="F22" s="36"/>
      <x:c r="G22" s="36"/>
      <x:c r="H22" s="36"/>
      <x:c r="I22" s="47"/>
      <x:c r="J22" s="47"/>
      <x:c r="K22" s="47"/>
      <x:c r="L22" s="47"/>
      <x:c r="M22" s="36"/>
      <x:c r="N22" s="36"/>
      <x:c r="O22" s="36"/>
      <x:c r="P22" s="36"/>
      <x:c r="Q22" s="56"/>
    </x:row>
    <x:row r="23" ht="30" customHeight="1">
      <x:c r="A23" s="38"/>
      <x:c r="B23" s="38"/>
      <x:c r="C23" s="38"/>
      <x:c r="D23" s="42"/>
      <x:c r="E23" s="42"/>
      <x:c r="F23" s="38"/>
      <x:c r="G23" s="38"/>
      <x:c r="H23" s="38"/>
      <x:c r="I23" s="48"/>
      <x:c r="J23" s="48"/>
      <x:c r="K23" s="48"/>
      <x:c r="L23" s="48"/>
      <x:c r="M23" s="38"/>
      <x:c r="N23" s="38"/>
      <x:c r="O23" s="38"/>
      <x:c r="P23" s="38"/>
      <x:c r="Q23" s="57"/>
    </x:row>
  </x:sheetData>
  <x:mergeCells>
    <x:mergeCell ref="A1:Q1"/>
    <x:mergeCell ref="A2:Q2"/>
  </x:mergeCells>
  <x:dataValidations count="1">
    <x:dataValidation type="list" sqref="A4:A23">
      <x:formula1>"Amazon,1688,联合"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e0fbcf01fa43d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2" hidden="0" customWidth="1"/>
    <x:col min="4" max="4" width="30" hidden="0" customWidth="1"/>
    <x:col min="5" max="5" width="28" hidden="0" customWidth="1"/>
    <x:col min="6" max="6" width="28" hidden="0" customWidth="1"/>
    <x:col min="7" max="7" width="26" hidden="0" customWidth="1"/>
    <x:col min="8" max="8" width="22" hidden="0" customWidth="1"/>
    <x:col min="9" max="9" width="22" hidden="0" customWidth="1"/>
    <x:col min="10" max="10" width="22" hidden="0" customWidth="1"/>
    <x:col min="11" max="11" width="18" hidden="0" customWidth="1"/>
    <x:col min="12" max="12" width="18" hidden="0" customWidth="1"/>
  </x:cols>
  <x:sheetData>
    <x:row r="1" ht="30" customHeight="1">
      <x:c r="A1" s="3" t="str">
        <x:v>待核验</x:v>
      </x:c>
      <x:c r="B1" s="3" t="str">
        <x:v>待核验</x:v>
      </x:c>
      <x:c r="C1" s="3" t="str">
        <x:v>待核验</x:v>
      </x:c>
      <x:c r="D1" s="3" t="str">
        <x:v>待核验</x:v>
      </x:c>
      <x:c r="E1" s="3" t="str">
        <x:v>待核验</x:v>
      </x:c>
      <x:c r="F1" s="3" t="str">
        <x:v>待核验</x:v>
      </x:c>
      <x:c r="G1" s="3" t="str">
        <x:v>待核验</x:v>
      </x:c>
      <x:c r="H1" s="3" t="str">
        <x:v>待核验</x:v>
      </x:c>
      <x:c r="I1" s="3" t="str">
        <x:v>待核验</x:v>
      </x:c>
      <x:c r="J1" s="3" t="str">
        <x:v>待核验</x:v>
      </x:c>
      <x:c r="K1" s="3" t="str">
        <x:v>待核验</x:v>
      </x:c>
      <x:c r="L1" s="3" t="str">
        <x:v>待核验</x:v>
      </x:c>
    </x:row>
    <x:row r="2" ht="34" customHeight="1">
      <x:c r="A2" s="7" t="str">
        <x:v>没有明确失败、但缺少可靠硬门槛证据的记录放在这里；写清下一步，不参与严格排名。</x:v>
      </x:c>
      <x:c r="B2" s="7" t="str">
        <x:v>没有明确失败、但缺少可靠硬门槛证据的记录放在这里；写清下一步，不参与严格排名。</x:v>
      </x:c>
      <x:c r="C2" s="7" t="str">
        <x:v>没有明确失败、但缺少可靠硬门槛证据的记录放在这里；写清下一步，不参与严格排名。</x:v>
      </x:c>
      <x:c r="D2" s="7" t="str">
        <x:v>没有明确失败、但缺少可靠硬门槛证据的记录放在这里；写清下一步，不参与严格排名。</x:v>
      </x:c>
      <x:c r="E2" s="7" t="str">
        <x:v>没有明确失败、但缺少可靠硬门槛证据的记录放在这里；写清下一步，不参与严格排名。</x:v>
      </x:c>
      <x:c r="F2" s="7" t="str">
        <x:v>没有明确失败、但缺少可靠硬门槛证据的记录放在这里；写清下一步，不参与严格排名。</x:v>
      </x:c>
      <x:c r="G2" s="7" t="str">
        <x:v>没有明确失败、但缺少可靠硬门槛证据的记录放在这里；写清下一步，不参与严格排名。</x:v>
      </x:c>
      <x:c r="H2" s="7" t="str">
        <x:v>没有明确失败、但缺少可靠硬门槛证据的记录放在这里；写清下一步，不参与严格排名。</x:v>
      </x:c>
      <x:c r="I2" s="7" t="str">
        <x:v>没有明确失败、但缺少可靠硬门槛证据的记录放在这里；写清下一步，不参与严格排名。</x:v>
      </x:c>
      <x:c r="J2" s="7" t="str">
        <x:v>没有明确失败、但缺少可靠硬门槛证据的记录放在这里；写清下一步，不参与严格排名。</x:v>
      </x:c>
      <x:c r="K2" s="7" t="str">
        <x:v>没有明确失败、但缺少可靠硬门槛证据的记录放在这里；写清下一步，不参与严格排名。</x:v>
      </x:c>
      <x:c r="L2" s="7" t="str">
        <x:v>没有明确失败、但缺少可靠硬门槛证据的记录放在这里；写清下一步，不参与严格排名。</x:v>
      </x:c>
    </x:row>
    <x:row r="3" ht="42" customHeight="1">
      <x:c r="A3" s="27" t="str">
        <x:v>模式</x:v>
      </x:c>
      <x:c r="B3" s="28" t="str">
        <x:v>记录/配对ID</x:v>
      </x:c>
      <x:c r="C3" s="28" t="str">
        <x:v>平台</x:v>
      </x:c>
      <x:c r="D3" s="28" t="str">
        <x:v>标题/配对说明</x:v>
      </x:c>
      <x:c r="E3" s="28" t="str">
        <x:v>缺失或冲突门槛</x:v>
      </x:c>
      <x:c r="F3" s="28" t="str">
        <x:v>现有证据</x:v>
      </x:c>
      <x:c r="G3" s="28" t="str">
        <x:v>下一步核验</x:v>
      </x:c>
      <x:c r="H3" s="28" t="str">
        <x:v>Amazon链接</x:v>
      </x:c>
      <x:c r="I3" s="28" t="str">
        <x:v>1688链接</x:v>
      </x:c>
      <x:c r="J3" s="28" t="str">
        <x:v>证据链接</x:v>
      </x:c>
      <x:c r="K3" s="28" t="str">
        <x:v>用户保留决定</x:v>
      </x:c>
      <x:c r="L3" s="29" t="str">
        <x:v>更新时间</x:v>
      </x:c>
    </x:row>
    <x:row r="4" ht="30" customHeight="1">
      <x:c r="A4" s="34"/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55"/>
    </x:row>
    <x:row r="5" ht="30" customHeight="1">
      <x:c r="A5" s="36"/>
      <x:c r="B5" s="36"/>
      <x:c r="C5" s="36"/>
      <x:c r="D5" s="36"/>
      <x:c r="E5" s="36"/>
      <x:c r="F5" s="36"/>
      <x:c r="G5" s="36"/>
      <x:c r="H5" s="36"/>
      <x:c r="I5" s="36"/>
      <x:c r="J5" s="36"/>
      <x:c r="K5" s="36"/>
      <x:c r="L5" s="56"/>
    </x:row>
    <x:row r="6" ht="30" customHeight="1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56"/>
    </x:row>
    <x:row r="7" ht="30" customHeight="1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56"/>
    </x:row>
    <x:row r="8" ht="30" customHeight="1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56"/>
    </x:row>
    <x:row r="9" ht="30" customHeight="1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56"/>
    </x:row>
    <x:row r="10" ht="30" customHeight="1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56"/>
    </x:row>
    <x:row r="11" ht="30" customHeight="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56"/>
    </x:row>
    <x:row r="12" ht="30" customHeight="1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56"/>
    </x:row>
    <x:row r="13" ht="30" customHeight="1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56"/>
    </x:row>
    <x:row r="14" ht="30" customHeight="1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56"/>
    </x:row>
    <x:row r="15" ht="30" customHeight="1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56"/>
    </x:row>
    <x:row r="16" ht="30" customHeight="1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56"/>
    </x:row>
    <x:row r="17" ht="30" customHeight="1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56"/>
    </x:row>
    <x:row r="18" ht="30" customHeight="1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56"/>
    </x:row>
    <x:row r="19" ht="30" customHeight="1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56"/>
    </x:row>
    <x:row r="20" ht="30" customHeight="1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56"/>
    </x:row>
    <x:row r="21" ht="30" customHeight="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56"/>
    </x:row>
    <x:row r="22" ht="30" customHeight="1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56"/>
    </x:row>
    <x:row r="23" ht="30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57"/>
    </x:row>
  </x:sheetData>
  <x:mergeCells>
    <x:mergeCell ref="A1:L1"/>
    <x:mergeCell ref="A2:L2"/>
  </x:mergeCells>
  <x:dataValidations count="1">
    <x:dataValidation type="list" sqref="A4:A23">
      <x:formula1>"Amazon,1688,联合"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7dee2562fd406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2" hidden="0" customWidth="1"/>
    <x:col min="4" max="4" width="30" hidden="0" customWidth="1"/>
    <x:col min="5" max="5" width="20" hidden="0" customWidth="1"/>
    <x:col min="6" max="6" width="30" hidden="0" customWidth="1"/>
    <x:col min="7" max="7" width="22" hidden="0" customWidth="1"/>
    <x:col min="8" max="8" width="22" hidden="0" customWidth="1"/>
    <x:col min="9" max="9" width="22" hidden="0" customWidth="1"/>
    <x:col min="10" max="10" width="18" hidden="0" customWidth="1"/>
    <x:col min="11" max="11" width="18" hidden="0" customWidth="1"/>
  </x:cols>
  <x:sheetData>
    <x:row r="1" ht="30" customHeight="1">
      <x:c r="A1" s="3" t="str">
        <x:v>淘汰记录</x:v>
      </x:c>
      <x:c r="B1" s="3" t="str">
        <x:v>淘汰记录</x:v>
      </x:c>
      <x:c r="C1" s="3" t="str">
        <x:v>淘汰记录</x:v>
      </x:c>
      <x:c r="D1" s="3" t="str">
        <x:v>淘汰记录</x:v>
      </x:c>
      <x:c r="E1" s="3" t="str">
        <x:v>淘汰记录</x:v>
      </x:c>
      <x:c r="F1" s="3" t="str">
        <x:v>淘汰记录</x:v>
      </x:c>
      <x:c r="G1" s="3" t="str">
        <x:v>淘汰记录</x:v>
      </x:c>
      <x:c r="H1" s="3" t="str">
        <x:v>淘汰记录</x:v>
      </x:c>
      <x:c r="I1" s="3" t="str">
        <x:v>淘汰记录</x:v>
      </x:c>
      <x:c r="J1" s="3" t="str">
        <x:v>淘汰记录</x:v>
      </x:c>
      <x:c r="K1" s="3" t="str">
        <x:v>淘汰记录</x:v>
      </x:c>
    </x:row>
    <x:row r="2" ht="34" customHeight="1">
      <x:c r="A2" s="7" t="str">
        <x:v>只有已经由可靠证据确认失败的记录放在这里；必须写明具体失败门槛和证据。</x:v>
      </x:c>
      <x:c r="B2" s="7" t="str">
        <x:v>只有已经由可靠证据确认失败的记录放在这里；必须写明具体失败门槛和证据。</x:v>
      </x:c>
      <x:c r="C2" s="7" t="str">
        <x:v>只有已经由可靠证据确认失败的记录放在这里；必须写明具体失败门槛和证据。</x:v>
      </x:c>
      <x:c r="D2" s="7" t="str">
        <x:v>只有已经由可靠证据确认失败的记录放在这里；必须写明具体失败门槛和证据。</x:v>
      </x:c>
      <x:c r="E2" s="7" t="str">
        <x:v>只有已经由可靠证据确认失败的记录放在这里；必须写明具体失败门槛和证据。</x:v>
      </x:c>
      <x:c r="F2" s="7" t="str">
        <x:v>只有已经由可靠证据确认失败的记录放在这里；必须写明具体失败门槛和证据。</x:v>
      </x:c>
      <x:c r="G2" s="7" t="str">
        <x:v>只有已经由可靠证据确认失败的记录放在这里；必须写明具体失败门槛和证据。</x:v>
      </x:c>
      <x:c r="H2" s="7" t="str">
        <x:v>只有已经由可靠证据确认失败的记录放在这里；必须写明具体失败门槛和证据。</x:v>
      </x:c>
      <x:c r="I2" s="7" t="str">
        <x:v>只有已经由可靠证据确认失败的记录放在这里；必须写明具体失败门槛和证据。</x:v>
      </x:c>
      <x:c r="J2" s="7" t="str">
        <x:v>只有已经由可靠证据确认失败的记录放在这里；必须写明具体失败门槛和证据。</x:v>
      </x:c>
      <x:c r="K2" s="7" t="str">
        <x:v>只有已经由可靠证据确认失败的记录放在这里；必须写明具体失败门槛和证据。</x:v>
      </x:c>
    </x:row>
    <x:row r="3" ht="42" customHeight="1">
      <x:c r="A3" s="27" t="str">
        <x:v>模式</x:v>
      </x:c>
      <x:c r="B3" s="28" t="str">
        <x:v>记录/配对ID</x:v>
      </x:c>
      <x:c r="C3" s="28" t="str">
        <x:v>平台</x:v>
      </x:c>
      <x:c r="D3" s="28" t="str">
        <x:v>标题/配对说明</x:v>
      </x:c>
      <x:c r="E3" s="28" t="str">
        <x:v>失败门槛</x:v>
      </x:c>
      <x:c r="F3" s="28" t="str">
        <x:v>失败事实</x:v>
      </x:c>
      <x:c r="G3" s="28" t="str">
        <x:v>证据链接</x:v>
      </x:c>
      <x:c r="H3" s="28" t="str">
        <x:v>Amazon链接</x:v>
      </x:c>
      <x:c r="I3" s="28" t="str">
        <x:v>1688链接</x:v>
      </x:c>
      <x:c r="J3" s="28" t="str">
        <x:v>用户决定引用</x:v>
      </x:c>
      <x:c r="K3" s="29" t="str">
        <x:v>淘汰时间</x:v>
      </x:c>
    </x:row>
    <x:row r="4" ht="30" customHeight="1">
      <x:c r="A4" s="34"/>
      <x:c r="B4" s="34"/>
      <x:c r="C4" s="34"/>
      <x:c r="D4" s="34"/>
      <x:c r="E4" s="34"/>
      <x:c r="F4" s="34"/>
      <x:c r="G4" s="34"/>
      <x:c r="H4" s="34"/>
      <x:c r="I4" s="34"/>
      <x:c r="J4" s="34"/>
      <x:c r="K4" s="55"/>
    </x:row>
    <x:row r="5" ht="30" customHeight="1">
      <x:c r="A5" s="36"/>
      <x:c r="B5" s="36"/>
      <x:c r="C5" s="36"/>
      <x:c r="D5" s="36"/>
      <x:c r="E5" s="36"/>
      <x:c r="F5" s="36"/>
      <x:c r="G5" s="36"/>
      <x:c r="H5" s="36"/>
      <x:c r="I5" s="36"/>
      <x:c r="J5" s="36"/>
      <x:c r="K5" s="56"/>
    </x:row>
    <x:row r="6" ht="30" customHeight="1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56"/>
    </x:row>
    <x:row r="7" ht="30" customHeight="1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56"/>
    </x:row>
    <x:row r="8" ht="30" customHeight="1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56"/>
    </x:row>
    <x:row r="9" ht="30" customHeight="1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56"/>
    </x:row>
    <x:row r="10" ht="30" customHeight="1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56"/>
    </x:row>
    <x:row r="11" ht="30" customHeight="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56"/>
    </x:row>
    <x:row r="12" ht="30" customHeight="1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56"/>
    </x:row>
    <x:row r="13" ht="30" customHeight="1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56"/>
    </x:row>
    <x:row r="14" ht="30" customHeight="1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56"/>
    </x:row>
    <x:row r="15" ht="30" customHeight="1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56"/>
    </x:row>
    <x:row r="16" ht="30" customHeight="1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56"/>
    </x:row>
    <x:row r="17" ht="30" customHeight="1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56"/>
    </x:row>
    <x:row r="18" ht="30" customHeight="1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56"/>
    </x:row>
    <x:row r="19" ht="30" customHeight="1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56"/>
    </x:row>
    <x:row r="20" ht="30" customHeight="1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56"/>
    </x:row>
    <x:row r="21" ht="30" customHeight="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56"/>
    </x:row>
    <x:row r="22" ht="30" customHeight="1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56"/>
    </x:row>
    <x:row r="23" ht="30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57"/>
    </x:row>
  </x:sheetData>
  <x:mergeCells>
    <x:mergeCell ref="A1:K1"/>
    <x:mergeCell ref="A2:K2"/>
  </x:mergeCells>
  <x:dataValidations count="1">
    <x:dataValidation type="list" sqref="A4:A23">
      <x:formula1>"Amazon,1688,联合"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9392aeb861439a"/>
  </x:tableParts>
</x:worksheet>
</file>