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bde97dddab4c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8cb07507d02f42cb"/>
    <x:sheet xmlns:r="http://schemas.openxmlformats.org/officeDocument/2006/relationships" name="亚马逊候选" sheetId="2" r:id="R33f9c3a136aa47f0"/>
    <x:sheet xmlns:r="http://schemas.openxmlformats.org/officeDocument/2006/relationships" name="1688候选" sheetId="3" r:id="R0696c0f4f9fa4aea"/>
    <x:sheet xmlns:r="http://schemas.openxmlformats.org/officeDocument/2006/relationships" name="货源匹配" sheetId="4" r:id="R0a3dc8c0eb554dcd"/>
    <x:sheet xmlns:r="http://schemas.openxmlformats.org/officeDocument/2006/relationships" name="严格结果" sheetId="5" r:id="Ra76c4347cc514d2c"/>
    <x:sheet xmlns:r="http://schemas.openxmlformats.org/officeDocument/2006/relationships" name="待核验" sheetId="6" r:id="Rf682de7e699b4bb0"/>
    <x:sheet xmlns:r="http://schemas.openxmlformats.org/officeDocument/2006/relationships" name="淘汰记录" sheetId="7" r:id="R7eb4dcbeb41948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%"/>
    <x:numFmt numFmtId="202" formatCode="#,##0.00"/>
    <x:numFmt numFmtId="203" formatCode="#,##0"/>
    <x:numFmt numFmtId="204" formatCode="@"/>
    <x:numFmt numFmtId="205" formatCode="0.0"/>
    <x:numFmt numFmtId="206" formatCode="yyyy-mm-dd hh:mm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i/>
      <x:sz val="11"/>
      <x:color rgb="FF17324D"/>
      <x:name val="Microsoft YaHei"/>
    </x:font>
    <x:font>
      <x:sz val="11"/>
      <x:color rgb="FF243746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E8F0FE"/>
      </x:patternFill>
    </x:fill>
  </x:fills>
  <x:borders count="2">
    <x:border/>
    <x:border>
      <x:left style="thin">
        <x:color rgb="FFD9E2E3"/>
      </x:left>
      <x:right style="thin">
        <x:color rgb="FFD9E2E3"/>
      </x:right>
      <x:top style="thin">
        <x:color rgb="FFD9E2E3"/>
      </x:top>
      <x:bottom style="thin">
        <x:color rgb="FFD9E2E3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6" borderId="1" xfId="0" applyNumberFormat="1" applyFont="1" applyFill="1" applyBorder="1" applyAlignment="1">
      <x:alignment wrapText="1"/>
    </x:xf>
    <x:xf numFmtId="201" fontId="4" fillId="6" borderId="1" xfId="0" applyNumberFormat="1" applyFont="1" applyFill="1" applyBorder="1" applyAlignment="1">
      <x:alignment wrapText="1"/>
    </x:xf>
    <x:xf numFmtId="201" fontId="4" fillId="7" borderId="1" xfId="0" applyNumberFormat="1" applyFont="1" applyFill="1" applyBorder="1" applyAlignment="1">
      <x:alignment wrapText="1"/>
    </x:xf>
    <x:xf numFmtId="202" fontId="4" fillId="6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3" fontId="4" fillId="5" borderId="1" xfId="0" applyNumberFormat="1" applyFont="1" applyFill="1" applyBorder="1" applyAlignment="1">
      <x:alignment vertical="center" wrapText="1"/>
    </x:xf>
    <x:xf numFmtId="204" fontId="4" fillId="5" borderId="1" xfId="0" applyNumberFormat="1" applyFont="1" applyFill="1" applyBorder="1" applyAlignment="1">
      <x:alignment vertical="center" wrapText="1"/>
    </x:xf>
    <x:xf numFmtId="202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205" fontId="4" fillId="5" borderId="1" xfId="0" applyNumberFormat="1" applyFont="1" applyFill="1" applyBorder="1" applyAlignment="1">
      <x:alignment vertical="center" wrapText="1"/>
    </x:xf>
    <x:xf numFmtId="206" fontId="4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0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765db146a143cb" /><Relationship Type="http://schemas.openxmlformats.org/officeDocument/2006/relationships/theme" Target="/xl/theme/theme1.xml" Id="R966bacd29b464f08" /><Relationship Type="http://schemas.openxmlformats.org/officeDocument/2006/relationships/sharedStrings" Target="/xl/sharedStrings.xml" Id="R1a77f96aaa134a45" /><Relationship Type="http://schemas.openxmlformats.org/officeDocument/2006/relationships/worksheet" Target="/xl/worksheets/sheet1.xml" Id="R8cb07507d02f42cb" /><Relationship Type="http://schemas.openxmlformats.org/officeDocument/2006/relationships/worksheet" Target="/xl/worksheets/sheet2.xml" Id="R33f9c3a136aa47f0" /><Relationship Type="http://schemas.openxmlformats.org/officeDocument/2006/relationships/worksheet" Target="/xl/worksheets/sheet3.xml" Id="R0696c0f4f9fa4aea" /><Relationship Type="http://schemas.openxmlformats.org/officeDocument/2006/relationships/worksheet" Target="/xl/worksheets/sheet4.xml" Id="R0a3dc8c0eb554dcd" /><Relationship Type="http://schemas.openxmlformats.org/officeDocument/2006/relationships/worksheet" Target="/xl/worksheets/sheet5.xml" Id="Ra76c4347cc514d2c" /><Relationship Type="http://schemas.openxmlformats.org/officeDocument/2006/relationships/worksheet" Target="/xl/worksheets/sheet6.xml" Id="Rf682de7e699b4bb0" /><Relationship Type="http://schemas.openxmlformats.org/officeDocument/2006/relationships/worksheet" Target="/xl/worksheets/sheet7.xml" Id="R7eb4dcbeb419483f" /></Relationships>
</file>

<file path=xl/tables/table1.xml><?xml version="1.0" encoding="utf-8"?>
<x:table xmlns:x="http://schemas.openxmlformats.org/spreadsheetml/2006/main" id="1" name="TaskInstructionsTable" displayName="TaskInstructionsTable" ref="A3:C37" headerRowCount="1" totalsRowCount="0" totalsRowShown="0">
  <x:autoFilter ref="A3:C37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mazonCandidatesTable" displayName="AmazonCandidatesTable" ref="A3:AJ4" headerRowCount="1" totalsRowCount="0" totalsRowShown="0">
  <x:autoFilter ref="A3:AJ4"/>
  <x:tableColumns count="36">
    <x:tableColumn id="1" name="状态"/>
    <x:tableColumn id="2" name="排名"/>
    <x:tableColumn id="3" name="商品图片"/>
    <x:tableColumn id="4" name="ASIN"/>
    <x:tableColumn id="5" name="站点"/>
    <x:tableColumn id="6" name="品牌"/>
    <x:tableColumn id="7" name="商品标题"/>
    <x:tableColumn id="8" name="商品链接"/>
    <x:tableColumn id="9" name="主图链接"/>
    <x:tableColumn id="10" name="变体/SKU"/>
    <x:tableColumn id="11" name="产品本体门槛"/>
    <x:tableColumn id="12" name="外观门槛"/>
    <x:tableColumn id="13" name="功能门槛"/>
    <x:tableColumn id="14" name="价格范围门槛"/>
    <x:tableColumn id="15" name="详情身份门槛"/>
    <x:tableColumn id="16" name="证据一致性门槛"/>
    <x:tableColumn id="17" name="门槛原因"/>
    <x:tableColumn id="18" name="目标售价"/>
    <x:tableColumn id="19" name="实际售价"/>
    <x:tableColumn id="20" name="币种"/>
    <x:tableColumn id="21" name="价格偏差率"/>
    <x:tableColumn id="22" name="月销量"/>
    <x:tableColumn id="23" name="销量统计周期"/>
    <x:tableColumn id="24" name="评价星级"/>
    <x:tableColumn id="25" name="评价数量"/>
    <x:tableColumn id="26" name="销量得分"/>
    <x:tableColumn id="27" name="价格得分"/>
    <x:tableColumn id="28" name="评价得分"/>
    <x:tableColumn id="29" name="总评分"/>
    <x:tableColumn id="30" name="来源类型"/>
    <x:tableColumn id="31" name="证据链接"/>
    <x:tableColumn id="32" name="检索路径"/>
    <x:tableColumn id="33" name="获取时间"/>
    <x:tableColumn id="34" name="置信度"/>
    <x:tableColumn id="35" name="冲突说明"/>
    <x:tableColumn id="36" name="决策日志引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pplyCandidatesTable" displayName="SupplyCandidatesTable" ref="A3:AO4" headerRowCount="1" totalsRowCount="0" totalsRowShown="0">
  <x:autoFilter ref="A3:AO4"/>
  <x:tableColumns count="41">
    <x:tableColumn id="1" name="状态"/>
    <x:tableColumn id="2" name="排名"/>
    <x:tableColumn id="3" name="商品图片"/>
    <x:tableColumn id="4" name="1688商品ID"/>
    <x:tableColumn id="5" name="商品标题"/>
    <x:tableColumn id="6" name="商品链接"/>
    <x:tableColumn id="7" name="主图链接"/>
    <x:tableColumn id="8" name="SKU/规格"/>
    <x:tableColumn id="9" name="产品本体门槛"/>
    <x:tableColumn id="10" name="外观门槛"/>
    <x:tableColumn id="11" name="功能门槛"/>
    <x:tableColumn id="12" name="价格范围门槛"/>
    <x:tableColumn id="13" name="供应商门槛"/>
    <x:tableColumn id="14" name="证据一致性门槛"/>
    <x:tableColumn id="15" name="门槛原因"/>
    <x:tableColumn id="16" name="目标成本"/>
    <x:tableColumn id="17" name="实际单价"/>
    <x:tableColumn id="18" name="币种"/>
    <x:tableColumn id="19" name="价格偏差率"/>
    <x:tableColumn id="20" name="采购数量档位"/>
    <x:tableColumn id="21" name="MOQ"/>
    <x:tableColumn id="22" name="近30天销量"/>
    <x:tableColumn id="23" name="评价星级"/>
    <x:tableColumn id="24" name="评价数量"/>
    <x:tableColumn id="25" name="销量得分"/>
    <x:tableColumn id="26" name="价格得分"/>
    <x:tableColumn id="27" name="评价得分"/>
    <x:tableColumn id="28" name="总评分"/>
    <x:tableColumn id="29" name="店铺名称"/>
    <x:tableColumn id="30" name="供应商ID"/>
    <x:tableColumn id="31" name="供应商主页"/>
    <x:tableColumn id="32" name="生产能力证据"/>
    <x:tableColumn id="33" name="ODM/OEM/定制证据"/>
    <x:tableColumn id="34" name="交期"/>
    <x:tableColumn id="35" name="来源类型"/>
    <x:tableColumn id="36" name="证据链接"/>
    <x:tableColumn id="37" name="检索路径"/>
    <x:tableColumn id="38" name="获取时间"/>
    <x:tableColumn id="39" name="置信度"/>
    <x:tableColumn id="40" name="冲突说明"/>
    <x:tableColumn id="41" name="决策日志引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MatchesTable" displayName="SourceMatchesTable" ref="A3:AR4" headerRowCount="1" totalsRowCount="0" totalsRowShown="0">
  <x:autoFilter ref="A3:AR4"/>
  <x:tableColumns count="44">
    <x:tableColumn id="1" name="状态"/>
    <x:tableColumn id="2" name="排名"/>
    <x:tableColumn id="3" name="记录/配对ID"/>
    <x:tableColumn id="4" name="Amazon商品图片"/>
    <x:tableColumn id="5" name="1688商品图片"/>
    <x:tableColumn id="6" name="Amazon ASIN"/>
    <x:tableColumn id="7" name="1688商品ID"/>
    <x:tableColumn id="8" name="Amazon商品标题"/>
    <x:tableColumn id="9" name="1688商品标题"/>
    <x:tableColumn id="10" name="Amazon链接"/>
    <x:tableColumn id="11" name="1688链接"/>
    <x:tableColumn id="12" name="Amazon主图链接"/>
    <x:tableColumn id="13" name="1688主图链接"/>
    <x:tableColumn id="14" name="供应商主页"/>
    <x:tableColumn id="15" name="产品本体匹配"/>
    <x:tableColumn id="16" name="外观匹配"/>
    <x:tableColumn id="17" name="功能匹配"/>
    <x:tableColumn id="18" name="规格匹配"/>
    <x:tableColumn id="19" name="成本/MOQ匹配"/>
    <x:tableColumn id="20" name="证据一致性门槛"/>
    <x:tableColumn id="21" name="外观匹配说明"/>
    <x:tableColumn id="22" name="功能匹配说明"/>
    <x:tableColumn id="23" name="目标成本"/>
    <x:tableColumn id="24" name="实际单价"/>
    <x:tableColumn id="25" name="币种"/>
    <x:tableColumn id="26" name="价格偏差率"/>
    <x:tableColumn id="27" name="Amazon月销量"/>
    <x:tableColumn id="28" name="Amazon评价星级"/>
    <x:tableColumn id="29" name="Amazon评价数量"/>
    <x:tableColumn id="30" name="销量得分"/>
    <x:tableColumn id="31" name="价格得分"/>
    <x:tableColumn id="32" name="评价得分"/>
    <x:tableColumn id="33" name="匹配总分"/>
    <x:tableColumn id="34" name="生产能力证据"/>
    <x:tableColumn id="35" name="ODM/OEM/定制证据"/>
    <x:tableColumn id="36" name="核心匹配证据"/>
    <x:tableColumn id="37" name="主要限制"/>
    <x:tableColumn id="38" name="来源类型"/>
    <x:tableColumn id="39" name="来源链接"/>
    <x:tableColumn id="40" name="检索路径"/>
    <x:tableColumn id="41" name="获取时间"/>
    <x:tableColumn id="42" name="置信度"/>
    <x:tableColumn id="43" name="冲突说明"/>
    <x:tableColumn id="44" name="决策日志引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rictResultsTable" displayName="StrictResultsTable" ref="A3:AQ4" headerRowCount="1" totalsRowCount="0" totalsRowShown="0">
  <x:autoFilter ref="A3:AQ4"/>
  <x:tableColumns count="43">
    <x:tableColumn id="1" name="状态"/>
    <x:tableColumn id="2" name="模式"/>
    <x:tableColumn id="3" name="排名"/>
    <x:tableColumn id="4" name="Amazon商品图片"/>
    <x:tableColumn id="5" name="1688商品图片"/>
    <x:tableColumn id="6" name="记录/配对ID"/>
    <x:tableColumn id="7" name="站点"/>
    <x:tableColumn id="8" name="Amazon ASIN"/>
    <x:tableColumn id="9" name="1688商品ID"/>
    <x:tableColumn id="10" name="标题/配对说明"/>
    <x:tableColumn id="11" name="Amazon链接"/>
    <x:tableColumn id="12" name="1688链接"/>
    <x:tableColumn id="13" name="供应商主页"/>
    <x:tableColumn id="14" name="Amazon主图链接"/>
    <x:tableColumn id="15" name="1688主图链接"/>
    <x:tableColumn id="16" name="外观门槛"/>
    <x:tableColumn id="17" name="功能门槛"/>
    <x:tableColumn id="18" name="证据一致性门槛"/>
    <x:tableColumn id="19" name="外观匹配说明"/>
    <x:tableColumn id="20" name="功能匹配说明"/>
    <x:tableColumn id="21" name="目标价格"/>
    <x:tableColumn id="22" name="实际价格"/>
    <x:tableColumn id="23" name="币种"/>
    <x:tableColumn id="24" name="价格偏差率"/>
    <x:tableColumn id="25" name="销量"/>
    <x:tableColumn id="26" name="销量统计周期"/>
    <x:tableColumn id="27" name="评价星级"/>
    <x:tableColumn id="28" name="评价数量"/>
    <x:tableColumn id="29" name="销量得分"/>
    <x:tableColumn id="30" name="价格得分"/>
    <x:tableColumn id="31" name="评价得分"/>
    <x:tableColumn id="32" name="总评分"/>
    <x:tableColumn id="33" name="核心通过证据"/>
    <x:tableColumn id="34" name="ODM/OEM/定制证据"/>
    <x:tableColumn id="35" name="主要限制"/>
    <x:tableColumn id="36" name="来源类型"/>
    <x:tableColumn id="37" name="来源链接"/>
    <x:tableColumn id="38" name="检索路径"/>
    <x:tableColumn id="39" name="获取时间"/>
    <x:tableColumn id="40" name="置信度"/>
    <x:tableColumn id="41" name="冲突说明"/>
    <x:tableColumn id="42" name="决策日志引用"/>
    <x:tableColumn id="43" name="输出时间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endingAuditTable" displayName="PendingAuditTable" ref="A3:R4" headerRowCount="1" totalsRowCount="0" totalsRowShown="0">
  <x:autoFilter ref="A3:R4"/>
  <x:tableColumns count="18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缺失或冲突门槛"/>
    <x:tableColumn id="10" name="现有证据"/>
    <x:tableColumn id="11" name="下一步核验"/>
    <x:tableColumn id="12" name="Amazon链接"/>
    <x:tableColumn id="13" name="1688链接"/>
    <x:tableColumn id="14" name="主图链接"/>
    <x:tableColumn id="15" name="证据链接"/>
    <x:tableColumn id="16" name="用户保留决定"/>
    <x:tableColumn id="17" name="决策日志引用"/>
    <x:tableColumn id="18" name="更新时间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jectedAuditTable" displayName="RejectedAuditTable" ref="A3:O4" headerRowCount="1" totalsRowCount="0" totalsRowShown="0">
  <x:autoFilter ref="A3:O4"/>
  <x:tableColumns count="15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失败门槛"/>
    <x:tableColumn id="10" name="失败事实"/>
    <x:tableColumn id="11" name="证据链接"/>
    <x:tableColumn id="12" name="Amazon链接"/>
    <x:tableColumn id="13" name="1688链接"/>
    <x:tableColumn id="14" name="决策日志引用"/>
    <x:tableColumn id="15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47e18d1788349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d7b55099b9b45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162b0560fa240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c3ee1ffe75b452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fbaef412f7342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59e94767ade410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f185c7eabeb41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48" hidden="0" customWidth="1"/>
  </x:cols>
  <x:sheetData>
    <x:row r="1" ht="30" customHeight="1">
      <x:c r="A1" s="4" t="str">
        <x:v>通用跨市场选品任务说明</x:v>
      </x:c>
      <x:c r="B1" s="4"/>
      <x:c r="C1" s="4"/>
    </x:row>
    <x:row r="2" ht="36" customHeight="1">
      <x:c r="A2" s="8" t="str">
        <x:v>先确认范围与硬门槛，再检索、核验实际主图、评分和排名；缺证据转待核验，严格结果不得凑数。</x:v>
      </x:c>
      <x:c r="B2" s="8"/>
      <x:c r="C2" s="8"/>
    </x:row>
    <x:row r="3" ht="48" customHeight="1">
      <x:c r="A3" s="14" t="str">
        <x:v>字段</x:v>
      </x:c>
      <x:c r="B3" s="14" t="str">
        <x:v>确认值</x:v>
      </x:c>
      <x:c r="C3" s="14" t="str">
        <x:v>填写说明</x:v>
      </x:c>
    </x:row>
    <x:row r="4" ht="32" customHeight="1">
      <x:c r="A4" s="19" t="str">
        <x:v>模式</x:v>
      </x:c>
      <x:c r="B4" s="23" t="str"/>
      <x:c r="C4" s="19" t="str">
        <x:v>Amazon / 1688 / 联合</x:v>
      </x:c>
    </x:row>
    <x:row r="5" ht="32" customHeight="1">
      <x:c r="A5" s="22" t="str">
        <x:v>业务目标</x:v>
      </x:c>
      <x:c r="B5" s="24" t="str"/>
      <x:c r="C5" s="22" t="str">
        <x:v>说明严格清单要支持的业务决策</x:v>
      </x:c>
    </x:row>
    <x:row r="6" ht="32" customHeight="1">
      <x:c r="A6" s="22" t="str">
        <x:v>品类/用途</x:v>
      </x:c>
      <x:c r="B6" s="24" t="str"/>
      <x:c r="C6" s="22" t="str">
        <x:v>填写目标产品与使用场景</x:v>
      </x:c>
    </x:row>
    <x:row r="7" ht="32" customHeight="1">
      <x:c r="A7" s="22" t="str">
        <x:v>市场/范围</x:v>
      </x:c>
      <x:c r="B7" s="24" t="str"/>
      <x:c r="C7" s="22" t="str">
        <x:v>填写站点、国家、区域或供应范围</x:v>
      </x:c>
    </x:row>
    <x:row r="8" ht="32" customHeight="1">
      <x:c r="A8" s="22" t="str">
        <x:v>参考图片/链接</x:v>
      </x:c>
      <x:c r="B8" s="24" t="str"/>
      <x:c r="C8" s="22" t="str">
        <x:v>填写参考图片、商品链接、ASIN 或 1688 商品ID</x:v>
      </x:c>
    </x:row>
    <x:row r="9" ht="32" customHeight="1">
      <x:c r="A9" s="22" t="str">
        <x:v>目标数量</x:v>
      </x:c>
      <x:c r="B9" s="24" t="str"/>
      <x:c r="C9" s="22" t="str">
        <x:v>填写最多需要的严格结果数；允许少于该数量</x:v>
      </x:c>
    </x:row>
    <x:row r="10" ht="32" customHeight="1">
      <x:c r="A10" s="22" t="str">
        <x:v>外观必须特点</x:v>
      </x:c>
      <x:c r="B10" s="24" t="str"/>
      <x:c r="C10" s="22" t="str">
        <x:v>仅凭实际主图可核验的必备形态、颜色或组合</x:v>
      </x:c>
    </x:row>
    <x:row r="11" ht="32" customHeight="1">
      <x:c r="A11" s="22" t="str">
        <x:v>允许变化</x:v>
      </x:c>
      <x:c r="B11" s="24" t="str"/>
      <x:c r="C11" s="22" t="str">
        <x:v>填写可以接受的外观、规格或包装差异</x:v>
      </x:c>
    </x:row>
    <x:row r="12" ht="32" customHeight="1">
      <x:c r="A12" s="22" t="str">
        <x:v>外观排除项</x:v>
      </x:c>
      <x:c r="B12" s="24" t="str"/>
      <x:c r="C12" s="22" t="str">
        <x:v>填写明确排除的形态、颜色、附件或变体</x:v>
      </x:c>
    </x:row>
    <x:row r="13" ht="32" customHeight="1">
      <x:c r="A13" s="22" t="str">
        <x:v>必须功能</x:v>
      </x:c>
      <x:c r="B13" s="24" t="str"/>
      <x:c r="C13" s="22" t="str">
        <x:v>填写必须由可靠证据确认的功能</x:v>
      </x:c>
    </x:row>
    <x:row r="14" ht="32" customHeight="1">
      <x:c r="A14" s="22" t="str">
        <x:v>可选功能</x:v>
      </x:c>
      <x:c r="B14" s="24" t="str"/>
      <x:c r="C14" s="22" t="str">
        <x:v>填写加分但不作为硬门槛的功能</x:v>
      </x:c>
    </x:row>
    <x:row r="15" ht="32" customHeight="1">
      <x:c r="A15" s="22" t="str">
        <x:v>排除功能</x:v>
      </x:c>
      <x:c r="B15" s="24" t="str"/>
      <x:c r="C15" s="22" t="str">
        <x:v>填写出现即淘汰的功能或用途</x:v>
      </x:c>
    </x:row>
    <x:row r="16" ht="32" customHeight="1">
      <x:c r="A16" s="22" t="str">
        <x:v>目标售价</x:v>
      </x:c>
      <x:c r="B16" s="29" t="str"/>
      <x:c r="C16" s="22" t="str">
        <x:v>Amazon 价格得分只与该目标售价双向比较</x:v>
      </x:c>
    </x:row>
    <x:row r="17" ht="32" customHeight="1">
      <x:c r="A17" s="22" t="str">
        <x:v>目标成本</x:v>
      </x:c>
      <x:c r="B17" s="29" t="str"/>
      <x:c r="C17" s="22" t="str">
        <x:v>1688 价格得分只与该目标成本双向比较</x:v>
      </x:c>
    </x:row>
    <x:row r="18" ht="32" customHeight="1">
      <x:c r="A18" s="22" t="str">
        <x:v>币种</x:v>
      </x:c>
      <x:c r="B18" s="24" t="str"/>
      <x:c r="C18" s="22" t="str">
        <x:v>填写目标售价与目标成本使用的币种</x:v>
      </x:c>
    </x:row>
    <x:row r="19" ht="32" customHeight="1">
      <x:c r="A19" s="22" t="str">
        <x:v>采购数量档位</x:v>
      </x:c>
      <x:c r="B19" s="24" t="str"/>
      <x:c r="C19" s="22" t="str">
        <x:v>填写用于核验 1688 实际单价的采购数量</x:v>
      </x:c>
    </x:row>
    <x:row r="20" ht="32" customHeight="1">
      <x:c r="A20" s="22" t="str">
        <x:v>价格允许偏差</x:v>
      </x:c>
      <x:c r="B20" s="26" t="str"/>
      <x:c r="C20" s="22" t="str">
        <x:v>填写绝对偏差率；价格高于或低于目标都会扣分</x:v>
      </x:c>
    </x:row>
    <x:row r="21" ht="32" customHeight="1">
      <x:c r="A21" s="22" t="str">
        <x:v>销量统计周期</x:v>
      </x:c>
      <x:c r="B21" s="24" t="str"/>
      <x:c r="C21" s="22" t="str">
        <x:v>填写月、近30天或其他明确周期</x:v>
      </x:c>
    </x:row>
    <x:row r="22" ht="32" customHeight="1">
      <x:c r="A22" s="22" t="str">
        <x:v>评价口径</x:v>
      </x:c>
      <x:c r="B22" s="24" t="str"/>
      <x:c r="C22" s="22" t="str">
        <x:v>填写星级来源、评价数量范围及变体合并规则</x:v>
      </x:c>
    </x:row>
    <x:row r="23" ht="32" customHeight="1">
      <x:c r="A23" s="22" t="str">
        <x:v>跨站点去重口径</x:v>
      </x:c>
      <x:c r="B23" s="24" t="str"/>
      <x:c r="C23" s="22" t="str">
        <x:v>填写 ASIN、稳定商品ID或规范链接等去重规则</x:v>
      </x:c>
    </x:row>
    <x:row r="24" ht="32" customHeight="1">
      <x:c r="A24" s="22" t="str">
        <x:v>关键字段</x:v>
      </x:c>
      <x:c r="B24" s="24" t="str"/>
      <x:c r="C24" s="22" t="str">
        <x:v>列明本任务额外必填与可选字段</x:v>
      </x:c>
    </x:row>
    <x:row r="25" ht="32" customHeight="1">
      <x:c r="A25" s="22" t="str">
        <x:v>缺失值策略</x:v>
      </x:c>
      <x:c r="B25" s="24" t="str">
        <x:v>缺失保持空白；硬门槛证据不足转待核验</x:v>
      </x:c>
      <x:c r="C25" s="22" t="str">
        <x:v>未知值不得写成 0、否或推断值</x:v>
      </x:c>
    </x:row>
    <x:row r="26" ht="32" customHeight="1">
      <x:c r="A26" s="22" t="str">
        <x:v>用户确认状态</x:v>
      </x:c>
      <x:c r="B26" s="24" t="str">
        <x:v>待用户确认</x:v>
      </x:c>
      <x:c r="C26" s="22" t="str">
        <x:v>确认后改为“已确认”；未确认不得批量付费检索</x:v>
      </x:c>
    </x:row>
    <x:row r="27" ht="32" customHeight="1">
      <x:c r="A27" s="22" t="str">
        <x:v>销量权重</x:v>
      </x:c>
      <x:c r="B27" s="27" t="n">
        <x:v>0.4</x:v>
      </x:c>
      <x:c r="C27" s="22" t="str">
        <x:v>总评分权重；默认 40%</x:v>
      </x:c>
    </x:row>
    <x:row r="28" ht="32" customHeight="1">
      <x:c r="A28" s="22" t="str">
        <x:v>价格权重</x:v>
      </x:c>
      <x:c r="B28" s="27" t="n">
        <x:v>0.4</x:v>
      </x:c>
      <x:c r="C28" s="22" t="str">
        <x:v>总评分权重；默认 40%</x:v>
      </x:c>
    </x:row>
    <x:row r="29" ht="32" customHeight="1">
      <x:c r="A29" s="22" t="str">
        <x:v>评价权重</x:v>
      </x:c>
      <x:c r="B29" s="27" t="n">
        <x:v>0.2</x:v>
      </x:c>
      <x:c r="C29" s="22" t="str">
        <x:v>总评分权重；默认 20%</x:v>
      </x:c>
    </x:row>
    <x:row r="30" ht="32" customHeight="1">
      <x:c r="A30" s="22" t="str">
        <x:v>权重合计</x:v>
      </x:c>
      <x:c r="B30" s="28" t="n">
        <x:f>SUM(B27:B29)</x:f>
        <x:v>1</x:v>
      </x:c>
      <x:c r="C30" s="22" t="str">
        <x:v>必须等于 100%</x:v>
      </x:c>
    </x:row>
    <x:row r="31" ht="32" customHeight="1">
      <x:c r="A31" s="22" t="str">
        <x:v>评价满分星级</x:v>
      </x:c>
      <x:c r="B31" s="22" t="n">
        <x:v>5</x:v>
      </x:c>
      <x:c r="C31" s="22" t="str">
        <x:v>评价得分按实际星级相对该值折算</x:v>
      </x:c>
    </x:row>
    <x:row r="32" ht="32" customHeight="1">
      <x:c r="A32" s="22" t="str">
        <x:v>评分下限</x:v>
      </x:c>
      <x:c r="B32" s="22" t="n">
        <x:v>0</x:v>
      </x:c>
      <x:c r="C32" s="22" t="str">
        <x:v>标准化分数不得低于该值</x:v>
      </x:c>
    </x:row>
    <x:row r="33" ht="32" customHeight="1">
      <x:c r="A33" s="22" t="str">
        <x:v>评分满分</x:v>
      </x:c>
      <x:c r="B33" s="22" t="n">
        <x:v>100</x:v>
      </x:c>
      <x:c r="C33" s="22" t="str">
        <x:v>销量、价格、评价三个分项的统一满分</x:v>
      </x:c>
    </x:row>
    <x:row r="34" ht="32" customHeight="1">
      <x:c r="A34" s="22" t="str">
        <x:v>价格评分规则</x:v>
      </x:c>
      <x:c r="B34" s="22" t="str">
        <x:v>Amazon 对目标售价；1688 对目标成本；按绝对偏差率双向接近</x:v>
      </x:c>
      <x:c r="C34" s="22" t="str">
        <x:v>不奖励单向偏高或偏低</x:v>
      </x:c>
    </x:row>
    <x:row r="35" ht="32" customHeight="1">
      <x:c r="A35" s="22" t="str">
        <x:v>证据不足处理</x:v>
      </x:c>
      <x:c r="B35" s="22" t="str">
        <x:v>三项评分任一证据缺失即转待核验</x:v>
      </x:c>
      <x:c r="C35" s="22" t="str">
        <x:v>不得把缺失值写成 0，也不得进入严格排名</x:v>
      </x:c>
    </x:row>
    <x:row r="36" ht="32" customHeight="1">
      <x:c r="A36" s="22" t="str">
        <x:v>结果数量规则</x:v>
      </x:c>
      <x:c r="B36" s="22" t="str">
        <x:v>严格结果不足目标数量时如实少于 Top-N</x:v>
      </x:c>
      <x:c r="C36" s="22" t="str">
        <x:v>不得用待核验或淘汰项凑数</x:v>
      </x:c>
    </x:row>
    <x:row r="37" ht="32" customHeight="1">
      <x:c r="A37" s="22" t="str">
        <x:v>执行顺序</x:v>
      </x:c>
      <x:c r="B37" s="22" t="str">
        <x:v>先核验产品、外观、功能和证据一致性门槛，再评分排名</x:v>
      </x:c>
      <x:c r="C37" s="22" t="str">
        <x:v>硬门槛失败即淘汰；证据不足即待核验</x:v>
      </x:c>
    </x:row>
  </x:sheetData>
  <x:mergeCells>
    <x:mergeCell ref="A1:C1"/>
    <x:mergeCell ref="A2:C2"/>
  </x:mergeCells>
  <x:conditionalFormatting sqref="B30:B30">
    <x:cfRule type="cellIs" dxfId="0" priority="1" operator="equal">
      <x:formula>1</x:formula>
    </x:cfRule>
    <x:cfRule type="cellIs" dxfId="1" priority="2" operator="notEqual">
      <x:formula>1</x:formula>
    </x:cfRule>
  </x:conditionalFormatting>
  <x:dataValidations count="2">
    <x:dataValidation type="list" sqref="B4">
      <x:formula1>"Amazon,1688,联合"</x:formula1>
    </x:dataValidation>
    <x:dataValidation type="list" sqref="B26">
      <x:formula1>"待用户确认,已确认,需补充"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7e18d17883495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6" hidden="0" customWidth="1"/>
    <x:col min="6" max="6" width="16" hidden="0" customWidth="1"/>
    <x:col min="7" max="7" width="30" hidden="0" customWidth="1"/>
    <x:col min="8" max="8" width="28" hidden="0" customWidth="1"/>
    <x:col min="9" max="9" width="28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30" hidden="0" customWidth="1"/>
    <x:col min="17" max="17" width="30" hidden="0" customWidth="1"/>
    <x:col min="18" max="18" width="16" hidden="0" customWidth="1"/>
    <x:col min="19" max="19" width="16" hidden="0" customWidth="1"/>
    <x:col min="20" max="20" width="12" hidden="0" customWidth="1"/>
    <x:col min="21" max="21" width="16" hidden="0" customWidth="1"/>
    <x:col min="22" max="22" width="16" hidden="0" customWidth="1"/>
    <x:col min="23" max="23" width="20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30" hidden="0" customWidth="1"/>
    <x:col min="32" max="32" width="28" hidden="0" customWidth="1"/>
    <x:col min="33" max="33" width="20" hidden="0" customWidth="1"/>
    <x:col min="34" max="34" width="12" hidden="0" customWidth="1"/>
    <x:col min="35" max="35" width="30" hidden="0" customWidth="1"/>
    <x:col min="36" max="36" width="16" hidden="0" customWidth="1"/>
  </x:cols>
  <x:sheetData>
    <x:row r="1" ht="30" customHeight="1">
      <x:c r="A1" s="4" t="str">
        <x:v>亚马逊候选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</x:row>
    <x:row r="2" ht="36" customHeight="1">
      <x:c r="A2" s="8" t="str">
        <x:v>先核验产品本体、外观、功能、价格范围、详情身份与证据一致性；仅严格行评分，缺失保持空白。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</x:row>
    <x:row r="3" ht="48" customHeight="1">
      <x:c r="A3" s="14" t="str">
        <x:v>状态</x:v>
      </x:c>
      <x:c r="B3" s="14" t="str">
        <x:v>排名</x:v>
      </x:c>
      <x:c r="C3" s="14" t="str">
        <x:v>商品图片</x:v>
      </x:c>
      <x:c r="D3" s="14" t="str">
        <x:v>ASIN</x:v>
      </x:c>
      <x:c r="E3" s="14" t="str">
        <x:v>站点</x:v>
      </x:c>
      <x:c r="F3" s="14" t="str">
        <x:v>品牌</x:v>
      </x:c>
      <x:c r="G3" s="14" t="str">
        <x:v>商品标题</x:v>
      </x:c>
      <x:c r="H3" s="14" t="str">
        <x:v>商品链接</x:v>
      </x:c>
      <x:c r="I3" s="14" t="str">
        <x:v>主图链接</x:v>
      </x:c>
      <x:c r="J3" s="14" t="str">
        <x:v>变体/SKU</x:v>
      </x:c>
      <x:c r="K3" s="14" t="str">
        <x:v>产品本体门槛</x:v>
      </x:c>
      <x:c r="L3" s="14" t="str">
        <x:v>外观门槛</x:v>
      </x:c>
      <x:c r="M3" s="14" t="str">
        <x:v>功能门槛</x:v>
      </x:c>
      <x:c r="N3" s="14" t="str">
        <x:v>价格范围门槛</x:v>
      </x:c>
      <x:c r="O3" s="14" t="str">
        <x:v>详情身份门槛</x:v>
      </x:c>
      <x:c r="P3" s="14" t="str">
        <x:v>证据一致性门槛</x:v>
      </x:c>
      <x:c r="Q3" s="14" t="str">
        <x:v>门槛原因</x:v>
      </x:c>
      <x:c r="R3" s="14" t="str">
        <x:v>目标售价</x:v>
      </x:c>
      <x:c r="S3" s="14" t="str">
        <x:v>实际售价</x:v>
      </x:c>
      <x:c r="T3" s="14" t="str">
        <x:v>币种</x:v>
      </x:c>
      <x:c r="U3" s="14" t="str">
        <x:v>价格偏差率</x:v>
      </x:c>
      <x:c r="V3" s="14" t="str">
        <x:v>月销量</x:v>
      </x:c>
      <x:c r="W3" s="14" t="str">
        <x:v>销量统计周期</x:v>
      </x:c>
      <x:c r="X3" s="14" t="str">
        <x:v>评价星级</x:v>
      </x:c>
      <x:c r="Y3" s="14" t="str">
        <x:v>评价数量</x:v>
      </x:c>
      <x:c r="Z3" s="14" t="str">
        <x:v>销量得分</x:v>
      </x:c>
      <x:c r="AA3" s="14" t="str">
        <x:v>价格得分</x:v>
      </x:c>
      <x:c r="AB3" s="14" t="str">
        <x:v>评价得分</x:v>
      </x:c>
      <x:c r="AC3" s="14" t="str">
        <x:v>总评分</x:v>
      </x:c>
      <x:c r="AD3" s="14" t="str">
        <x:v>来源类型</x:v>
      </x:c>
      <x:c r="AE3" s="14" t="str">
        <x:v>证据链接</x:v>
      </x:c>
      <x:c r="AF3" s="14" t="str">
        <x:v>检索路径</x:v>
      </x:c>
      <x:c r="AG3" s="14" t="str">
        <x:v>获取时间</x:v>
      </x:c>
      <x:c r="AH3" s="14" t="str">
        <x:v>置信度</x:v>
      </x:c>
      <x:c r="AI3" s="14" t="str">
        <x:v>冲突说明</x:v>
      </x:c>
      <x:c r="AJ3" s="14" t="str">
        <x:v>决策日志引用</x:v>
      </x:c>
    </x:row>
    <x:row r="4" ht="100" customHeight="1">
      <x:c r="A4" s="19"/>
      <x:c r="B4" s="31"/>
      <x:c r="C4" s="30"/>
      <x:c r="D4" s="32"/>
      <x:c r="E4" s="19"/>
      <x:c r="F4" s="19"/>
      <x:c r="G4" s="19"/>
      <x:c r="H4" s="19"/>
      <x:c r="I4" s="19"/>
      <x:c r="J4" s="32"/>
      <x:c r="K4" s="19"/>
      <x:c r="L4" s="19"/>
      <x:c r="M4" s="19"/>
      <x:c r="N4" s="33"/>
      <x:c r="O4" s="19"/>
      <x:c r="P4" s="19"/>
      <x:c r="Q4" s="19"/>
      <x:c r="R4" s="33"/>
      <x:c r="S4" s="33"/>
      <x:c r="T4" s="19"/>
      <x:c r="U4" s="34" t="str">
        <x:f>IF(OR(R4="",S4="",R4='任务说明'!$B$32),"",ABS(S4-R4)/ABS(R4))</x:f>
      </x:c>
      <x:c r="V4" s="31"/>
      <x:c r="W4" s="31"/>
      <x:c r="X4" s="35"/>
      <x:c r="Y4" s="31"/>
      <x:c r="Z4" s="35" t="str">
        <x:f>IF(V4="","",IF(MAX($V$4:$V$103)=MIN($V$4:$V$103),'任务说明'!$B$33,(V4-MIN($V$4:$V$103))/(MAX($V$4:$V$103)-MIN($V$4:$V$103))*'任务说明'!$B$33))</x:f>
      </x:c>
      <x:c r="AA4" s="35" t="str">
        <x:f>IF(OR(U4="",'任务说明'!$B$20="",'任务说明'!$B$20='任务说明'!$B$32),"",MAX('任务说明'!$B$32,'任务说明'!$B$33-'任务说明'!$B$33*U4/'任务说明'!$B$20))</x:f>
      </x:c>
      <x:c r="AB4" s="35" t="str">
        <x:f>IF(X4="","",MIN('任务说明'!$B$33,'任务说明'!$B$33*X4/'任务说明'!$B$31))</x:f>
      </x:c>
      <x:c r="AC4" s="35" t="str">
        <x:f>IF(OR(Z4="",AA4="",AB4=""),"",Z4*'任务说明'!$B$27+AA4*'任务说明'!$B$28+AB4*'任务说明'!$B$29)</x:f>
      </x:c>
      <x:c r="AD4" s="19"/>
      <x:c r="AE4" s="19"/>
      <x:c r="AF4" s="19"/>
      <x:c r="AG4" s="36"/>
      <x:c r="AH4" s="19"/>
      <x:c r="AI4" s="19"/>
      <x:c r="AJ4" s="19"/>
    </x:row>
  </x:sheetData>
  <x:mergeCells>
    <x:mergeCell ref="A1:AJ1"/>
    <x:mergeCell ref="A2:AJ2"/>
  </x:mergeCells>
  <x:conditionalFormatting sqref="A4:A103">
    <x:cfRule type="containsText" dxfId="2" priority="1" operator="containsText" text="严格"/>
    <x:cfRule type="containsText" dxfId="3" priority="2" operator="containsText" text="待核验"/>
    <x:cfRule type="containsText" dxfId="4" priority="3" operator="containsText" text="淘汰"/>
  </x:conditionalFormatting>
  <x:dataValidations count="1">
    <x:dataValidation type="list" sqref="A4:A103">
      <x:formula1>"严格,待核验,淘汰"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7b55099b9b455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30" hidden="0" customWidth="1"/>
    <x:col min="6" max="6" width="28" hidden="0" customWidth="1"/>
    <x:col min="7" max="7" width="28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30" hidden="0" customWidth="1"/>
    <x:col min="15" max="15" width="30" hidden="0" customWidth="1"/>
    <x:col min="16" max="16" width="16" hidden="0" customWidth="1"/>
    <x:col min="17" max="17" width="16" hidden="0" customWidth="1"/>
    <x:col min="18" max="18" width="12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8" hidden="0" customWidth="1"/>
    <x:col min="31" max="31" width="28" hidden="0" customWidth="1"/>
    <x:col min="32" max="32" width="30" hidden="0" customWidth="1"/>
    <x:col min="33" max="33" width="30" hidden="0" customWidth="1"/>
    <x:col min="34" max="34" width="16" hidden="0" customWidth="1"/>
    <x:col min="35" max="35" width="16" hidden="0" customWidth="1"/>
    <x:col min="36" max="36" width="30" hidden="0" customWidth="1"/>
    <x:col min="37" max="37" width="28" hidden="0" customWidth="1"/>
    <x:col min="38" max="38" width="20" hidden="0" customWidth="1"/>
    <x:col min="39" max="39" width="12" hidden="0" customWidth="1"/>
    <x:col min="40" max="40" width="30" hidden="0" customWidth="1"/>
    <x:col min="41" max="41" width="16" hidden="0" customWidth="1"/>
  </x:cols>
  <x:sheetData>
    <x:row r="1" ht="30" customHeight="1">
      <x:c r="A1" s="4" t="str">
        <x:v>1688候选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</x:row>
    <x:row r="2" ht="36" customHeight="1">
      <x:c r="A2" s="8" t="str">
        <x:v>按目标成本核验实际单价，并保留供应商主页、生产能力与 ODM/OEM/定制证据；证据不足转待核验。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</x:row>
    <x:row r="3" ht="48" customHeight="1">
      <x:c r="A3" s="14" t="str">
        <x:v>状态</x:v>
      </x:c>
      <x:c r="B3" s="14" t="str">
        <x:v>排名</x:v>
      </x:c>
      <x:c r="C3" s="14" t="str">
        <x:v>商品图片</x:v>
      </x:c>
      <x:c r="D3" s="14" t="str">
        <x:v>1688商品ID</x:v>
      </x:c>
      <x:c r="E3" s="14" t="str">
        <x:v>商品标题</x:v>
      </x:c>
      <x:c r="F3" s="14" t="str">
        <x:v>商品链接</x:v>
      </x:c>
      <x:c r="G3" s="14" t="str">
        <x:v>主图链接</x:v>
      </x:c>
      <x:c r="H3" s="14" t="str">
        <x:v>SKU/规格</x:v>
      </x:c>
      <x:c r="I3" s="14" t="str">
        <x:v>产品本体门槛</x:v>
      </x:c>
      <x:c r="J3" s="14" t="str">
        <x:v>外观门槛</x:v>
      </x:c>
      <x:c r="K3" s="14" t="str">
        <x:v>功能门槛</x:v>
      </x:c>
      <x:c r="L3" s="14" t="str">
        <x:v>价格范围门槛</x:v>
      </x:c>
      <x:c r="M3" s="14" t="str">
        <x:v>供应商门槛</x:v>
      </x:c>
      <x:c r="N3" s="14" t="str">
        <x:v>证据一致性门槛</x:v>
      </x:c>
      <x:c r="O3" s="14" t="str">
        <x:v>门槛原因</x:v>
      </x:c>
      <x:c r="P3" s="14" t="str">
        <x:v>目标成本</x:v>
      </x:c>
      <x:c r="Q3" s="14" t="str">
        <x:v>实际单价</x:v>
      </x:c>
      <x:c r="R3" s="14" t="str">
        <x:v>币种</x:v>
      </x:c>
      <x:c r="S3" s="14" t="str">
        <x:v>价格偏差率</x:v>
      </x:c>
      <x:c r="T3" s="14" t="str">
        <x:v>采购数量档位</x:v>
      </x:c>
      <x:c r="U3" s="14" t="str">
        <x:v>MOQ</x:v>
      </x:c>
      <x:c r="V3" s="14" t="str">
        <x:v>近30天销量</x:v>
      </x:c>
      <x:c r="W3" s="14" t="str">
        <x:v>评价星级</x:v>
      </x:c>
      <x:c r="X3" s="14" t="str">
        <x:v>评价数量</x:v>
      </x:c>
      <x:c r="Y3" s="14" t="str">
        <x:v>销量得分</x:v>
      </x:c>
      <x:c r="Z3" s="14" t="str">
        <x:v>价格得分</x:v>
      </x:c>
      <x:c r="AA3" s="14" t="str">
        <x:v>评价得分</x:v>
      </x:c>
      <x:c r="AB3" s="14" t="str">
        <x:v>总评分</x:v>
      </x:c>
      <x:c r="AC3" s="14" t="str">
        <x:v>店铺名称</x:v>
      </x:c>
      <x:c r="AD3" s="14" t="str">
        <x:v>供应商ID</x:v>
      </x:c>
      <x:c r="AE3" s="14" t="str">
        <x:v>供应商主页</x:v>
      </x:c>
      <x:c r="AF3" s="14" t="str">
        <x:v>生产能力证据</x:v>
      </x:c>
      <x:c r="AG3" s="14" t="str">
        <x:v>ODM/OEM/定制证据</x:v>
      </x:c>
      <x:c r="AH3" s="14" t="str">
        <x:v>交期</x:v>
      </x:c>
      <x:c r="AI3" s="14" t="str">
        <x:v>来源类型</x:v>
      </x:c>
      <x:c r="AJ3" s="14" t="str">
        <x:v>证据链接</x:v>
      </x:c>
      <x:c r="AK3" s="14" t="str">
        <x:v>检索路径</x:v>
      </x:c>
      <x:c r="AL3" s="14" t="str">
        <x:v>获取时间</x:v>
      </x:c>
      <x:c r="AM3" s="14" t="str">
        <x:v>置信度</x:v>
      </x:c>
      <x:c r="AN3" s="14" t="str">
        <x:v>冲突说明</x:v>
      </x:c>
      <x:c r="AO3" s="14" t="str">
        <x:v>决策日志引用</x:v>
      </x:c>
    </x:row>
    <x:row r="4" ht="100" customHeight="1">
      <x:c r="A4" s="19"/>
      <x:c r="B4" s="31"/>
      <x:c r="C4" s="30"/>
      <x:c r="D4" s="32"/>
      <x:c r="E4" s="19"/>
      <x:c r="F4" s="19"/>
      <x:c r="G4" s="19"/>
      <x:c r="H4" s="32"/>
      <x:c r="I4" s="19"/>
      <x:c r="J4" s="19"/>
      <x:c r="K4" s="19"/>
      <x:c r="L4" s="33"/>
      <x:c r="M4" s="19"/>
      <x:c r="N4" s="19"/>
      <x:c r="O4" s="19"/>
      <x:c r="P4" s="33"/>
      <x:c r="Q4" s="33"/>
      <x:c r="R4" s="19"/>
      <x:c r="S4" s="34" t="str">
        <x:f>IF(OR(P4="",Q4="",P4='任务说明'!$B$32),"",ABS(Q4-P4)/ABS(P4))</x:f>
      </x:c>
      <x:c r="T4" s="31"/>
      <x:c r="U4" s="31"/>
      <x:c r="V4" s="31"/>
      <x:c r="W4" s="35"/>
      <x:c r="X4" s="31"/>
      <x:c r="Y4" s="35" t="str">
        <x:f>IF(V4="","",IF(MAX($V$4:$V$103)=MIN($V$4:$V$103),'任务说明'!$B$33,(V4-MIN($V$4:$V$103))/(MAX($V$4:$V$103)-MIN($V$4:$V$103))*'任务说明'!$B$33))</x:f>
      </x:c>
      <x:c r="Z4" s="35" t="str">
        <x:f>IF(OR(S4="",'任务说明'!$B$20="",'任务说明'!$B$20='任务说明'!$B$32),"",MAX('任务说明'!$B$32,'任务说明'!$B$33-'任务说明'!$B$33*S4/'任务说明'!$B$20))</x:f>
      </x:c>
      <x:c r="AA4" s="35" t="str">
        <x:f>IF(W4="","",MIN('任务说明'!$B$33,'任务说明'!$B$33*W4/'任务说明'!$B$31))</x:f>
      </x:c>
      <x:c r="AB4" s="35" t="str">
        <x:f>IF(OR(Y4="",Z4="",AA4=""),"",Y4*'任务说明'!$B$27+Z4*'任务说明'!$B$28+AA4*'任务说明'!$B$29)</x:f>
      </x:c>
      <x:c r="AC4" s="19"/>
      <x:c r="AD4" s="32"/>
      <x:c r="AE4" s="19"/>
      <x:c r="AF4" s="19"/>
      <x:c r="AG4" s="19"/>
      <x:c r="AH4" s="19"/>
      <x:c r="AI4" s="19"/>
      <x:c r="AJ4" s="19"/>
      <x:c r="AK4" s="19"/>
      <x:c r="AL4" s="36"/>
      <x:c r="AM4" s="19"/>
      <x:c r="AN4" s="19"/>
      <x:c r="AO4" s="19"/>
    </x:row>
  </x:sheetData>
  <x:mergeCells>
    <x:mergeCell ref="A1:AO1"/>
    <x:mergeCell ref="A2:AO2"/>
  </x:mergeCells>
  <x:conditionalFormatting sqref="A4:A103">
    <x:cfRule type="containsText" dxfId="5" priority="1" operator="containsText" text="严格"/>
    <x:cfRule type="containsText" dxfId="6" priority="2" operator="containsText" text="待核验"/>
    <x:cfRule type="containsText" dxfId="7" priority="3" operator="containsText" text="淘汰"/>
  </x:conditionalFormatting>
  <x:dataValidations count="1">
    <x:dataValidation type="list" sqref="A4:A103">
      <x:formula1>"严格,待核验,淘汰"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62b0560fa240c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20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  <x:col min="21" max="21" width="30" hidden="0" customWidth="1"/>
    <x:col min="22" max="22" width="30" hidden="0" customWidth="1"/>
    <x:col min="23" max="23" width="16" hidden="0" customWidth="1"/>
    <x:col min="24" max="24" width="16" hidden="0" customWidth="1"/>
    <x:col min="25" max="25" width="12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30" hidden="0" customWidth="1"/>
    <x:col min="35" max="35" width="30" hidden="0" customWidth="1"/>
    <x:col min="36" max="36" width="30" hidden="0" customWidth="1"/>
    <x:col min="37" max="37" width="30" hidden="0" customWidth="1"/>
    <x:col min="38" max="38" width="16" hidden="0" customWidth="1"/>
    <x:col min="39" max="39" width="28" hidden="0" customWidth="1"/>
    <x:col min="40" max="40" width="28" hidden="0" customWidth="1"/>
    <x:col min="41" max="41" width="20" hidden="0" customWidth="1"/>
    <x:col min="42" max="42" width="12" hidden="0" customWidth="1"/>
    <x:col min="43" max="43" width="30" hidden="0" customWidth="1"/>
    <x:col min="44" max="44" width="16" hidden="0" customWidth="1"/>
  </x:cols>
  <x:sheetData>
    <x:row r="1" ht="30" customHeight="1">
      <x:c r="A1" s="4" t="str">
        <x:v>Amazon × 1688 货源匹配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</x:row>
    <x:row r="2" ht="36" customHeight="1">
      <x:c r="A2" s="8" t="str">
        <x:v>联合配对必须保留并核验两侧实际主图、主图链接与商品链接；硬门槛全部通过后才计算匹配总分。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</x:row>
    <x:row r="3" ht="48" customHeight="1">
      <x:c r="A3" s="14" t="str">
        <x:v>状态</x:v>
      </x:c>
      <x:c r="B3" s="14" t="str">
        <x:v>排名</x:v>
      </x:c>
      <x:c r="C3" s="14" t="str">
        <x:v>记录/配对ID</x:v>
      </x:c>
      <x:c r="D3" s="14" t="str">
        <x:v>Amazon商品图片</x:v>
      </x:c>
      <x:c r="E3" s="14" t="str">
        <x:v>1688商品图片</x:v>
      </x:c>
      <x:c r="F3" s="14" t="str">
        <x:v>Amazon ASIN</x:v>
      </x:c>
      <x:c r="G3" s="14" t="str">
        <x:v>1688商品ID</x:v>
      </x:c>
      <x:c r="H3" s="14" t="str">
        <x:v>Amazon商品标题</x:v>
      </x:c>
      <x:c r="I3" s="14" t="str">
        <x:v>1688商品标题</x:v>
      </x:c>
      <x:c r="J3" s="14" t="str">
        <x:v>Amazon链接</x:v>
      </x:c>
      <x:c r="K3" s="14" t="str">
        <x:v>1688链接</x:v>
      </x:c>
      <x:c r="L3" s="14" t="str">
        <x:v>Amazon主图链接</x:v>
      </x:c>
      <x:c r="M3" s="14" t="str">
        <x:v>1688主图链接</x:v>
      </x:c>
      <x:c r="N3" s="14" t="str">
        <x:v>供应商主页</x:v>
      </x:c>
      <x:c r="O3" s="14" t="str">
        <x:v>产品本体匹配</x:v>
      </x:c>
      <x:c r="P3" s="14" t="str">
        <x:v>外观匹配</x:v>
      </x:c>
      <x:c r="Q3" s="14" t="str">
        <x:v>功能匹配</x:v>
      </x:c>
      <x:c r="R3" s="14" t="str">
        <x:v>规格匹配</x:v>
      </x:c>
      <x:c r="S3" s="14" t="str">
        <x:v>成本/MOQ匹配</x:v>
      </x:c>
      <x:c r="T3" s="14" t="str">
        <x:v>证据一致性门槛</x:v>
      </x:c>
      <x:c r="U3" s="14" t="str">
        <x:v>外观匹配说明</x:v>
      </x:c>
      <x:c r="V3" s="14" t="str">
        <x:v>功能匹配说明</x:v>
      </x:c>
      <x:c r="W3" s="14" t="str">
        <x:v>目标成本</x:v>
      </x:c>
      <x:c r="X3" s="14" t="str">
        <x:v>实际单价</x:v>
      </x:c>
      <x:c r="Y3" s="14" t="str">
        <x:v>币种</x:v>
      </x:c>
      <x:c r="Z3" s="14" t="str">
        <x:v>价格偏差率</x:v>
      </x:c>
      <x:c r="AA3" s="14" t="str">
        <x:v>Amazon月销量</x:v>
      </x:c>
      <x:c r="AB3" s="14" t="str">
        <x:v>Amazon评价星级</x:v>
      </x:c>
      <x:c r="AC3" s="14" t="str">
        <x:v>Amazon评价数量</x:v>
      </x:c>
      <x:c r="AD3" s="14" t="str">
        <x:v>销量得分</x:v>
      </x:c>
      <x:c r="AE3" s="14" t="str">
        <x:v>价格得分</x:v>
      </x:c>
      <x:c r="AF3" s="14" t="str">
        <x:v>评价得分</x:v>
      </x:c>
      <x:c r="AG3" s="14" t="str">
        <x:v>匹配总分</x:v>
      </x:c>
      <x:c r="AH3" s="14" t="str">
        <x:v>生产能力证据</x:v>
      </x:c>
      <x:c r="AI3" s="14" t="str">
        <x:v>ODM/OEM/定制证据</x:v>
      </x:c>
      <x:c r="AJ3" s="14" t="str">
        <x:v>核心匹配证据</x:v>
      </x:c>
      <x:c r="AK3" s="14" t="str">
        <x:v>主要限制</x:v>
      </x:c>
      <x:c r="AL3" s="14" t="str">
        <x:v>来源类型</x:v>
      </x:c>
      <x:c r="AM3" s="14" t="str">
        <x:v>来源链接</x:v>
      </x:c>
      <x:c r="AN3" s="14" t="str">
        <x:v>检索路径</x:v>
      </x:c>
      <x:c r="AO3" s="14" t="str">
        <x:v>获取时间</x:v>
      </x:c>
      <x:c r="AP3" s="14" t="str">
        <x:v>置信度</x:v>
      </x:c>
      <x:c r="AQ3" s="14" t="str">
        <x:v>冲突说明</x:v>
      </x:c>
      <x:c r="AR3" s="14" t="str">
        <x:v>决策日志引用</x:v>
      </x:c>
    </x:row>
    <x:row r="4" ht="100" customHeight="1">
      <x:c r="A4" s="19"/>
      <x:c r="B4" s="31"/>
      <x:c r="C4" s="32"/>
      <x:c r="D4" s="30"/>
      <x:c r="E4" s="30"/>
      <x:c r="F4" s="32"/>
      <x:c r="G4" s="32"/>
      <x:c r="H4" s="19"/>
      <x:c r="I4" s="19"/>
      <x:c r="J4" s="19"/>
      <x:c r="K4" s="19"/>
      <x:c r="L4" s="19"/>
      <x:c r="M4" s="19"/>
      <x:c r="N4" s="19"/>
      <x:c r="O4" s="19"/>
      <x:c r="P4" s="19"/>
      <x:c r="Q4" s="19"/>
      <x:c r="R4" s="19"/>
      <x:c r="S4" s="33"/>
      <x:c r="T4" s="19"/>
      <x:c r="U4" s="19"/>
      <x:c r="V4" s="19"/>
      <x:c r="W4" s="33"/>
      <x:c r="X4" s="33"/>
      <x:c r="Y4" s="19"/>
      <x:c r="Z4" s="34" t="str">
        <x:f>IF(OR(W4="",X4="",W4='任务说明'!$B$32),"",ABS(X4-W4)/ABS(W4))</x:f>
      </x:c>
      <x:c r="AA4" s="31"/>
      <x:c r="AB4" s="35"/>
      <x:c r="AC4" s="31"/>
      <x:c r="AD4" s="35" t="str">
        <x:f>IF(AA4="","",IF(MAX($AA$4:$AA$103)=MIN($AA$4:$AA$103),'任务说明'!$B$33,(AA4-MIN($AA$4:$AA$103))/(MAX($AA$4:$AA$103)-MIN($AA$4:$AA$103))*'任务说明'!$B$33))</x:f>
      </x:c>
      <x:c r="AE4" s="35" t="str">
        <x:f>IF(OR(Z4="",'任务说明'!$B$20="",'任务说明'!$B$20='任务说明'!$B$32),"",MAX('任务说明'!$B$32,'任务说明'!$B$33-'任务说明'!$B$33*Z4/'任务说明'!$B$20))</x:f>
      </x:c>
      <x:c r="AF4" s="35" t="str">
        <x:f>IF(AB4="","",MIN('任务说明'!$B$33,'任务说明'!$B$33*AB4/'任务说明'!$B$31))</x:f>
      </x:c>
      <x:c r="AG4" s="19" t="str">
        <x:f>IF(OR(AD4="",AE4="",AF4=""),"",AD4*'任务说明'!$B$27+AE4*'任务说明'!$B$28+AF4*'任务说明'!$B$29)</x:f>
      </x:c>
      <x:c r="AH4" s="19"/>
      <x:c r="AI4" s="19"/>
      <x:c r="AJ4" s="19"/>
      <x:c r="AK4" s="19"/>
      <x:c r="AL4" s="19"/>
      <x:c r="AM4" s="19"/>
      <x:c r="AN4" s="19"/>
      <x:c r="AO4" s="36"/>
      <x:c r="AP4" s="19"/>
      <x:c r="AQ4" s="19"/>
      <x:c r="AR4" s="19"/>
    </x:row>
  </x:sheetData>
  <x:mergeCells>
    <x:mergeCell ref="A1:AR1"/>
    <x:mergeCell ref="A2:AR2"/>
  </x:mergeCells>
  <x:conditionalFormatting sqref="A4:A103">
    <x:cfRule type="containsText" dxfId="8" priority="1" operator="containsText" text="严格"/>
    <x:cfRule type="containsText" dxfId="9" priority="2" operator="containsText" text="待核验"/>
    <x:cfRule type="containsText" dxfId="10" priority="3" operator="containsText" text="淘汰"/>
  </x:conditionalFormatting>
  <x:dataValidations count="1">
    <x:dataValidation type="list" sqref="A4:A103">
      <x:formula1>"严格,待核验,淘汰"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3ee1ffe75b452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20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30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  <x:col min="17" max="17" width="16" hidden="0" customWidth="1"/>
    <x:col min="18" max="18" width="30" hidden="0" customWidth="1"/>
    <x:col min="19" max="19" width="30" hidden="0" customWidth="1"/>
    <x:col min="20" max="20" width="30" hidden="0" customWidth="1"/>
    <x:col min="21" max="21" width="16" hidden="0" customWidth="1"/>
    <x:col min="22" max="22" width="16" hidden="0" customWidth="1"/>
    <x:col min="23" max="23" width="12" hidden="0" customWidth="1"/>
    <x:col min="24" max="24" width="16" hidden="0" customWidth="1"/>
    <x:col min="25" max="25" width="16" hidden="0" customWidth="1"/>
    <x:col min="26" max="26" width="20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30" hidden="0" customWidth="1"/>
    <x:col min="34" max="34" width="30" hidden="0" customWidth="1"/>
    <x:col min="35" max="35" width="30" hidden="0" customWidth="1"/>
    <x:col min="36" max="36" width="16" hidden="0" customWidth="1"/>
    <x:col min="37" max="37" width="28" hidden="0" customWidth="1"/>
    <x:col min="38" max="38" width="28" hidden="0" customWidth="1"/>
    <x:col min="39" max="39" width="20" hidden="0" customWidth="1"/>
    <x:col min="40" max="40" width="12" hidden="0" customWidth="1"/>
    <x:col min="41" max="41" width="30" hidden="0" customWidth="1"/>
    <x:col min="42" max="42" width="16" hidden="0" customWidth="1"/>
    <x:col min="43" max="43" width="20" hidden="0" customWidth="1"/>
  </x:cols>
  <x:sheetData>
    <x:row r="1" ht="30" customHeight="1">
      <x:c r="A1" s="4" t="str">
        <x:v>严格结果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</x:row>
    <x:row r="2" ht="36" customHeight="1">
      <x:c r="A2" s="8" t="str">
        <x:v>只收录硬门槛与证据均已确认通过的记录；联合模式必须同时嵌入两侧实际主图，严格结果不足 Top-N 时不得凑数。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Amazon商品图片</x:v>
      </x:c>
      <x:c r="E3" s="14" t="str">
        <x:v>1688商品图片</x:v>
      </x:c>
      <x:c r="F3" s="14" t="str">
        <x:v>记录/配对ID</x:v>
      </x:c>
      <x:c r="G3" s="14" t="str">
        <x:v>站点</x:v>
      </x:c>
      <x:c r="H3" s="14" t="str">
        <x:v>Amazon ASIN</x:v>
      </x:c>
      <x:c r="I3" s="14" t="str">
        <x:v>1688商品ID</x:v>
      </x:c>
      <x:c r="J3" s="14" t="str">
        <x:v>标题/配对说明</x:v>
      </x:c>
      <x:c r="K3" s="14" t="str">
        <x:v>Amazon链接</x:v>
      </x:c>
      <x:c r="L3" s="14" t="str">
        <x:v>1688链接</x:v>
      </x:c>
      <x:c r="M3" s="14" t="str">
        <x:v>供应商主页</x:v>
      </x:c>
      <x:c r="N3" s="14" t="str">
        <x:v>Amazon主图链接</x:v>
      </x:c>
      <x:c r="O3" s="14" t="str">
        <x:v>1688主图链接</x:v>
      </x:c>
      <x:c r="P3" s="14" t="str">
        <x:v>外观门槛</x:v>
      </x:c>
      <x:c r="Q3" s="14" t="str">
        <x:v>功能门槛</x:v>
      </x:c>
      <x:c r="R3" s="14" t="str">
        <x:v>证据一致性门槛</x:v>
      </x:c>
      <x:c r="S3" s="14" t="str">
        <x:v>外观匹配说明</x:v>
      </x:c>
      <x:c r="T3" s="14" t="str">
        <x:v>功能匹配说明</x:v>
      </x:c>
      <x:c r="U3" s="14" t="str">
        <x:v>目标价格</x:v>
      </x:c>
      <x:c r="V3" s="14" t="str">
        <x:v>实际价格</x:v>
      </x:c>
      <x:c r="W3" s="14" t="str">
        <x:v>币种</x:v>
      </x:c>
      <x:c r="X3" s="14" t="str">
        <x:v>价格偏差率</x:v>
      </x:c>
      <x:c r="Y3" s="14" t="str">
        <x:v>销量</x:v>
      </x:c>
      <x:c r="Z3" s="14" t="str">
        <x:v>销量统计周期</x:v>
      </x:c>
      <x:c r="AA3" s="14" t="str">
        <x:v>评价星级</x:v>
      </x:c>
      <x:c r="AB3" s="14" t="str">
        <x:v>评价数量</x:v>
      </x:c>
      <x:c r="AC3" s="14" t="str">
        <x:v>销量得分</x:v>
      </x:c>
      <x:c r="AD3" s="14" t="str">
        <x:v>价格得分</x:v>
      </x:c>
      <x:c r="AE3" s="14" t="str">
        <x:v>评价得分</x:v>
      </x:c>
      <x:c r="AF3" s="14" t="str">
        <x:v>总评分</x:v>
      </x:c>
      <x:c r="AG3" s="14" t="str">
        <x:v>核心通过证据</x:v>
      </x:c>
      <x:c r="AH3" s="14" t="str">
        <x:v>ODM/OEM/定制证据</x:v>
      </x:c>
      <x:c r="AI3" s="14" t="str">
        <x:v>主要限制</x:v>
      </x:c>
      <x:c r="AJ3" s="14" t="str">
        <x:v>来源类型</x:v>
      </x:c>
      <x:c r="AK3" s="14" t="str">
        <x:v>来源链接</x:v>
      </x:c>
      <x:c r="AL3" s="14" t="str">
        <x:v>检索路径</x:v>
      </x:c>
      <x:c r="AM3" s="14" t="str">
        <x:v>获取时间</x:v>
      </x:c>
      <x:c r="AN3" s="14" t="str">
        <x:v>置信度</x:v>
      </x:c>
      <x:c r="AO3" s="14" t="str">
        <x:v>冲突说明</x:v>
      </x:c>
      <x:c r="AP3" s="14" t="str">
        <x:v>决策日志引用</x:v>
      </x:c>
      <x:c r="AQ3" s="14" t="str">
        <x:v>输出时间</x:v>
      </x:c>
    </x:row>
    <x:row r="4" ht="100" customHeight="1">
      <x:c r="A4" s="19"/>
      <x:c r="B4" s="19"/>
      <x:c r="C4" s="31"/>
      <x:c r="D4" s="30"/>
      <x:c r="E4" s="30"/>
      <x:c r="F4" s="32"/>
      <x:c r="G4" s="19"/>
      <x:c r="H4" s="32"/>
      <x:c r="I4" s="32"/>
      <x:c r="J4" s="19"/>
      <x:c r="K4" s="19"/>
      <x:c r="L4" s="19"/>
      <x:c r="M4" s="19"/>
      <x:c r="N4" s="19"/>
      <x:c r="O4" s="19"/>
      <x:c r="P4" s="19"/>
      <x:c r="Q4" s="19"/>
      <x:c r="R4" s="19"/>
      <x:c r="S4" s="19"/>
      <x:c r="T4" s="19"/>
      <x:c r="U4" s="33"/>
      <x:c r="V4" s="33"/>
      <x:c r="W4" s="19"/>
      <x:c r="X4" s="34" t="str">
        <x:f>IF(OR(U4="",V4="",U4='任务说明'!$B$32),"",ABS(V4-U4)/ABS(U4))</x:f>
      </x:c>
      <x:c r="Y4" s="31"/>
      <x:c r="Z4" s="31"/>
      <x:c r="AA4" s="35"/>
      <x:c r="AB4" s="31"/>
      <x:c r="AC4" s="35" t="str">
        <x:f>IF(Y4="","",IF(MAX($Y$4:$Y$103)=MIN($Y$4:$Y$103),'任务说明'!$B$33,(Y4-MIN($Y$4:$Y$103))/(MAX($Y$4:$Y$103)-MIN($Y$4:$Y$103))*'任务说明'!$B$33))</x:f>
      </x:c>
      <x:c r="AD4" s="35" t="str">
        <x:f>IF(OR(X4="",'任务说明'!$B$20="",'任务说明'!$B$20='任务说明'!$B$32),"",MAX('任务说明'!$B$32,'任务说明'!$B$33-'任务说明'!$B$33*X4/'任务说明'!$B$20))</x:f>
      </x:c>
      <x:c r="AE4" s="35" t="str">
        <x:f>IF(AA4="","",MIN('任务说明'!$B$33,'任务说明'!$B$33*AA4/'任务说明'!$B$31))</x:f>
      </x:c>
      <x:c r="AF4" s="35" t="str">
        <x:f>IF(OR(AC4="",AD4="",AE4=""),"",AC4*'任务说明'!$B$27+AD4*'任务说明'!$B$28+AE4*'任务说明'!$B$29)</x:f>
      </x:c>
      <x:c r="AG4" s="19"/>
      <x:c r="AH4" s="19"/>
      <x:c r="AI4" s="19"/>
      <x:c r="AJ4" s="19"/>
      <x:c r="AK4" s="19"/>
      <x:c r="AL4" s="19"/>
      <x:c r="AM4" s="36"/>
      <x:c r="AN4" s="19"/>
      <x:c r="AO4" s="19"/>
      <x:c r="AP4" s="19"/>
      <x:c r="AQ4" s="36"/>
    </x:row>
  </x:sheetData>
  <x:mergeCells>
    <x:mergeCell ref="A1:AQ1"/>
    <x:mergeCell ref="A2:AQ2"/>
  </x:mergeCells>
  <x:conditionalFormatting sqref="A4:A103">
    <x:cfRule type="containsText" dxfId="11" priority="1" operator="containsText" text="严格"/>
    <x:cfRule type="containsText" dxfId="12" priority="2" operator="containsText" text="待核验"/>
    <x:cfRule type="containsText" dxfId="13" priority="3" operator="containsText" text="淘汰"/>
  </x:conditionalFormatting>
  <x:dataValidations count="1">
    <x:dataValidation type="list" sqref="A4:A103">
      <x:formula1>"严格,待核验,淘汰"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baef412f73427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28" hidden="0" customWidth="1"/>
    <x:col min="13" max="13" width="28" hidden="0" customWidth="1"/>
    <x:col min="14" max="14" width="28" hidden="0" customWidth="1"/>
    <x:col min="15" max="15" width="30" hidden="0" customWidth="1"/>
    <x:col min="16" max="16" width="16" hidden="0" customWidth="1"/>
    <x:col min="17" max="17" width="16" hidden="0" customWidth="1"/>
    <x:col min="18" max="18" width="20" hidden="0" customWidth="1"/>
  </x:cols>
  <x:sheetData>
    <x:row r="1" ht="30" customHeight="1">
      <x:c r="A1" s="4" t="str">
        <x:v>待核验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6" customHeight="1">
      <x:c r="A2" s="8" t="str">
        <x:v>没有明确失败但缺少可靠硬门槛或三项评分证据的记录放在这里；写清缺口、现有证据与下一步。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缺失或冲突门槛</x:v>
      </x:c>
      <x:c r="J3" s="14" t="str">
        <x:v>现有证据</x:v>
      </x:c>
      <x:c r="K3" s="14" t="str">
        <x:v>下一步核验</x:v>
      </x:c>
      <x:c r="L3" s="14" t="str">
        <x:v>Amazon链接</x:v>
      </x:c>
      <x:c r="M3" s="14" t="str">
        <x:v>1688链接</x:v>
      </x:c>
      <x:c r="N3" s="14" t="str">
        <x:v>主图链接</x:v>
      </x:c>
      <x:c r="O3" s="14" t="str">
        <x:v>证据链接</x:v>
      </x:c>
      <x:c r="P3" s="14" t="str">
        <x:v>用户保留决定</x:v>
      </x:c>
      <x:c r="Q3" s="14" t="str">
        <x:v>决策日志引用</x:v>
      </x:c>
      <x:c r="R3" s="14" t="str">
        <x:v>更新时间</x:v>
      </x:c>
    </x:row>
    <x:row r="4" ht="100" customHeight="1">
      <x:c r="A4" s="19"/>
      <x:c r="B4" s="19"/>
      <x:c r="C4" s="32"/>
      <x:c r="D4" s="19"/>
      <x:c r="E4" s="30"/>
      <x:c r="F4" s="32"/>
      <x:c r="G4" s="32"/>
      <x:c r="H4" s="19"/>
      <x:c r="I4" s="19"/>
      <x:c r="J4" s="19"/>
      <x:c r="K4" s="19"/>
      <x:c r="L4" s="19"/>
      <x:c r="M4" s="19"/>
      <x:c r="N4" s="19"/>
      <x:c r="O4" s="19"/>
      <x:c r="P4" s="19"/>
      <x:c r="Q4" s="19"/>
      <x:c r="R4" s="36"/>
    </x:row>
  </x:sheetData>
  <x:mergeCells>
    <x:mergeCell ref="A1:R1"/>
    <x:mergeCell ref="A2:R2"/>
  </x:mergeCells>
  <x:conditionalFormatting sqref="A4:A103">
    <x:cfRule type="containsText" dxfId="14" priority="1" operator="containsText" text="严格"/>
    <x:cfRule type="containsText" dxfId="15" priority="2" operator="containsText" text="待核验"/>
    <x:cfRule type="containsText" dxfId="16" priority="3" operator="containsText" text="淘汰"/>
  </x:conditionalFormatting>
  <x:dataValidations count="1">
    <x:dataValidation type="list" sqref="A4:A103">
      <x:formula1>"严格,待核验,淘汰"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9e94767ade410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16" hidden="0" customWidth="1"/>
    <x:col min="10" max="10" width="16" hidden="0" customWidth="1"/>
    <x:col min="11" max="11" width="30" hidden="0" customWidth="1"/>
    <x:col min="12" max="12" width="28" hidden="0" customWidth="1"/>
    <x:col min="13" max="13" width="28" hidden="0" customWidth="1"/>
    <x:col min="14" max="14" width="16" hidden="0" customWidth="1"/>
    <x:col min="15" max="15" width="20" hidden="0" customWidth="1"/>
  </x:cols>
  <x:sheetData>
    <x:row r="1" ht="30" customHeight="1">
      <x:c r="A1" s="4" t="str">
        <x:v>淘汰记录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6" customHeight="1">
      <x:c r="A2" s="8" t="str">
        <x:v>只记录已有可靠证据确认失败的记录；必须保留稳定身份、具体失败门槛、失败事实与证据链接。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失败门槛</x:v>
      </x:c>
      <x:c r="J3" s="14" t="str">
        <x:v>失败事实</x:v>
      </x:c>
      <x:c r="K3" s="14" t="str">
        <x:v>证据链接</x:v>
      </x:c>
      <x:c r="L3" s="14" t="str">
        <x:v>Amazon链接</x:v>
      </x:c>
      <x:c r="M3" s="14" t="str">
        <x:v>1688链接</x:v>
      </x:c>
      <x:c r="N3" s="14" t="str">
        <x:v>决策日志引用</x:v>
      </x:c>
      <x:c r="O3" s="14" t="str">
        <x:v>淘汰时间</x:v>
      </x:c>
    </x:row>
    <x:row r="4" ht="100" customHeight="1">
      <x:c r="A4" s="19"/>
      <x:c r="B4" s="19"/>
      <x:c r="C4" s="32"/>
      <x:c r="D4" s="19"/>
      <x:c r="E4" s="30"/>
      <x:c r="F4" s="32"/>
      <x:c r="G4" s="32"/>
      <x:c r="H4" s="19"/>
      <x:c r="I4" s="19"/>
      <x:c r="J4" s="19"/>
      <x:c r="K4" s="19"/>
      <x:c r="L4" s="19"/>
      <x:c r="M4" s="19"/>
      <x:c r="N4" s="19"/>
      <x:c r="O4" s="36"/>
    </x:row>
  </x:sheetData>
  <x:mergeCells>
    <x:mergeCell ref="A1:O1"/>
    <x:mergeCell ref="A2:O2"/>
  </x:mergeCells>
  <x:conditionalFormatting sqref="A4:A103">
    <x:cfRule type="containsText" dxfId="17" priority="1" operator="containsText" text="严格"/>
    <x:cfRule type="containsText" dxfId="18" priority="2" operator="containsText" text="待核验"/>
    <x:cfRule type="containsText" dxfId="19" priority="3" operator="containsText" text="淘汰"/>
  </x:conditionalFormatting>
  <x:dataValidations count="1">
    <x:dataValidation type="list" sqref="A4:A103">
      <x:formula1>"严格,待核验,淘汰"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185c7eabeb4155"/>
  </x:tableParts>
</x:worksheet>
</file>